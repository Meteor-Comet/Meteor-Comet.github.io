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visibility="hidden" xWindow="7367" windowWidth="7367" windowHeight="5340" tabRatio="825" activeTab="1"/>
  </bookViews>
  <sheets>
    <sheet name="ST02 双吸嘴+载具CCD固定" sheetId="7" state="hidden" r:id="rId1"/>
    <sheet name="CT表（详细版）" sheetId="9" r:id="rId2"/>
    <sheet name="Sheet1" sheetId="10" r:id="rId3"/>
  </sheets>
  <calcPr calcId="144525"/>
  <oleSize ref="A1:DZ56"/>
</workbook>
</file>

<file path=xl/sharedStrings.xml><?xml version="1.0" encoding="utf-8"?>
<sst xmlns="http://schemas.openxmlformats.org/spreadsheetml/2006/main" count="339" uniqueCount="137">
  <si>
    <t>Step</t>
  </si>
  <si>
    <t>组件</t>
  </si>
  <si>
    <t>执行部件</t>
  </si>
  <si>
    <t>动作</t>
  </si>
  <si>
    <t>动作时间汇总</t>
  </si>
  <si>
    <t>Process</t>
  </si>
  <si>
    <t>移动距离
（mm）</t>
  </si>
  <si>
    <t>速度
（mm/s）</t>
  </si>
  <si>
    <t>非运动时间时间
（s）</t>
  </si>
  <si>
    <t>运行时间
（s）</t>
  </si>
  <si>
    <t>总时间</t>
  </si>
  <si>
    <t>ST02 主板组装设备</t>
  </si>
  <si>
    <t>机械手组件</t>
  </si>
  <si>
    <t>取料A</t>
  </si>
  <si>
    <t>机械手运动到拍照位置A</t>
  </si>
  <si>
    <t>上CCD定位拍照</t>
  </si>
  <si>
    <t>机械手运动到取料安全高度</t>
  </si>
  <si>
    <t>机械手Z轴下降</t>
  </si>
  <si>
    <t>吸嘴A真空取料</t>
  </si>
  <si>
    <t>取料B</t>
  </si>
  <si>
    <t>机械手运动到拍照位置B</t>
  </si>
  <si>
    <t>下相机定位拍照</t>
  </si>
  <si>
    <t>机械手运动到下相机拍照A</t>
  </si>
  <si>
    <t>下CCD定位拍照</t>
  </si>
  <si>
    <t>机械手运动到下相机拍照B</t>
  </si>
  <si>
    <t>产品A组装</t>
  </si>
  <si>
    <t>机械手运动到载具A安全高度</t>
  </si>
  <si>
    <t>吸嘴A组装主板</t>
  </si>
  <si>
    <t>卡扣气缸下压</t>
  </si>
  <si>
    <t>卡扣气缸上升</t>
  </si>
  <si>
    <t>产品B组装</t>
  </si>
  <si>
    <t>机械手运动到载具B安全高度</t>
  </si>
  <si>
    <t>吸嘴B组装主板</t>
  </si>
  <si>
    <t>载具上相机组件</t>
  </si>
  <si>
    <t>上相机产品定位拍照</t>
  </si>
  <si>
    <t>上相机运动到载具A拍照</t>
  </si>
  <si>
    <t>上相机运动到载具B拍照</t>
  </si>
  <si>
    <t>上相机运动到避位位置</t>
  </si>
  <si>
    <t>流水线</t>
  </si>
  <si>
    <t>载具物流</t>
  </si>
  <si>
    <t>载具A&amp;B流入</t>
  </si>
  <si>
    <t>载具A&amp;B流出</t>
  </si>
  <si>
    <t>M01-5-B02 上盖组合件上料设备</t>
  </si>
  <si>
    <t>Station</t>
  </si>
  <si>
    <t>workflow</t>
  </si>
  <si>
    <t>Executive agency執行機構</t>
  </si>
  <si>
    <t>Equipment operating distance設備運行距離mm</t>
  </si>
  <si>
    <t>Direction of movement運動方向（X\Y\Z\U)</t>
  </si>
  <si>
    <t>CT operating speedCT运行速度（mm/s）</t>
  </si>
  <si>
    <t>动作时间
Action time</t>
  </si>
  <si>
    <t>加减速时间
Acceleration and deceleration time</t>
  </si>
  <si>
    <t>信号传输时间
Signal transmission time</t>
  </si>
  <si>
    <t>到位延迟（缓冲时间）
In place delay (buffer time)</t>
  </si>
  <si>
    <t>电磁阀换向时间
Switching time of solenoid valve</t>
  </si>
  <si>
    <t>Formula Unit Time公式单元时间</t>
  </si>
  <si>
    <t>Estimated unit time预估單元時間</t>
  </si>
  <si>
    <t>Duration accumulation時長累加</t>
  </si>
  <si>
    <t>双穴满载具顶升</t>
  </si>
  <si>
    <t>载具流入到阻挡位</t>
  </si>
  <si>
    <t>流线电机</t>
  </si>
  <si>
    <t>Z</t>
  </si>
  <si>
    <t>载具夹紧，顶升</t>
  </si>
  <si>
    <t>气缸</t>
  </si>
  <si>
    <t>双穴满载具解锁</t>
  </si>
  <si>
    <t>下压气缸顶出</t>
  </si>
  <si>
    <t>解锁拨杆顶出开锁</t>
  </si>
  <si>
    <t>X</t>
  </si>
  <si>
    <t>错位移载</t>
  </si>
  <si>
    <t>产品放入石墨盘（满料）</t>
  </si>
  <si>
    <t>/</t>
  </si>
  <si>
    <t>错位移载平台将产品移至拍照区</t>
  </si>
  <si>
    <t>直线电机</t>
  </si>
  <si>
    <t>Y</t>
  </si>
  <si>
    <t>摆正模组伸出</t>
  </si>
  <si>
    <t>伺服电机</t>
  </si>
  <si>
    <t>CCD拍照</t>
  </si>
  <si>
    <t>CCD</t>
  </si>
  <si>
    <t>X轴产品取放料</t>
  </si>
  <si>
    <t>石墨盘CCD拍照完成</t>
  </si>
  <si>
    <t>X轴从二次定位区移至石墨板取料位</t>
  </si>
  <si>
    <t>Z轴下降</t>
  </si>
  <si>
    <t>真空启动</t>
  </si>
  <si>
    <t>真空发生器</t>
  </si>
  <si>
    <t>Z轴上升</t>
  </si>
  <si>
    <t>X轴从石墨板取料位移至二次定位</t>
  </si>
  <si>
    <t>真空关闭</t>
  </si>
  <si>
    <t>二次定位平台</t>
  </si>
  <si>
    <t>产品放入二次平台治具</t>
  </si>
  <si>
    <t>产品二次定位</t>
  </si>
  <si>
    <t>X/Y</t>
  </si>
  <si>
    <t>产品变距</t>
  </si>
  <si>
    <t>产品移至扫码位</t>
  </si>
  <si>
    <t>扫码</t>
  </si>
  <si>
    <t>扫码枪</t>
  </si>
  <si>
    <t>Y轴移至移载旋转工位</t>
  </si>
  <si>
    <t>移载旋转工位</t>
  </si>
  <si>
    <t>产品移至移载旋转工位</t>
  </si>
  <si>
    <t>真空启动（同时吸附2个产品）</t>
  </si>
  <si>
    <t>Y轴移至下CCD定位拍照区</t>
  </si>
  <si>
    <t>下CCD拍照</t>
  </si>
  <si>
    <t>Y轴移至吸取翻转组件上方（同时ZR轴旋转）</t>
  </si>
  <si>
    <t>Y/ZR</t>
  </si>
  <si>
    <t>Z轴气缸1下降</t>
  </si>
  <si>
    <t>真空关闭（释放产品1）</t>
  </si>
  <si>
    <t>Z轴气缸1上升</t>
  </si>
  <si>
    <t>ZR轴旋转）</t>
  </si>
  <si>
    <t>ZR</t>
  </si>
  <si>
    <t>产品移至吸取翻转工位上方</t>
  </si>
  <si>
    <t>Z轴气缸2下降</t>
  </si>
  <si>
    <t>真空关闭（释放产品2）</t>
  </si>
  <si>
    <t>Z轴上升（同时Z轴气缸2上升）</t>
  </si>
  <si>
    <t>Y轴移至待料区</t>
  </si>
  <si>
    <t>吸取翻转工位</t>
  </si>
  <si>
    <t>产品放入翻转治具内</t>
  </si>
  <si>
    <t>翻转180°</t>
  </si>
  <si>
    <t>R</t>
  </si>
  <si>
    <t>翻转Z轴下降</t>
  </si>
  <si>
    <t>模组</t>
  </si>
  <si>
    <t>翻转Z轴上升</t>
  </si>
  <si>
    <t>翻转180°等待下次产品放入</t>
  </si>
  <si>
    <r>
      <rPr>
        <sz val="10"/>
        <color theme="1"/>
        <rFont val="宋体"/>
        <charset val="134"/>
      </rPr>
      <t>移载旋转工位耗时最长，设备</t>
    </r>
    <r>
      <rPr>
        <sz val="10"/>
        <color theme="1"/>
        <rFont val="Helvetica"/>
        <charset val="134"/>
      </rPr>
      <t xml:space="preserve"> CT</t>
    </r>
    <r>
      <rPr>
        <sz val="10"/>
        <color theme="1"/>
        <rFont val="宋体"/>
        <charset val="134"/>
      </rPr>
      <t>：</t>
    </r>
    <r>
      <rPr>
        <sz val="10"/>
        <color theme="1"/>
        <rFont val="Helvetica"/>
        <charset val="134"/>
      </rPr>
      <t>8.5s/2pcs</t>
    </r>
  </si>
  <si>
    <r>
      <rPr>
        <sz val="14"/>
        <color rgb="FFFF0000"/>
        <rFont val="Helvetica"/>
        <charset val="134"/>
      </rPr>
      <t>CT</t>
    </r>
    <r>
      <rPr>
        <sz val="14"/>
        <color rgb="FFFF0000"/>
        <rFont val="宋体"/>
        <charset val="134"/>
      </rPr>
      <t>分析表说明：</t>
    </r>
    <r>
      <rPr>
        <sz val="14"/>
        <color rgb="FFFF0000"/>
        <rFont val="Helvetica"/>
        <charset val="134"/>
      </rPr>
      <t xml:space="preserve">
1. CT</t>
    </r>
    <r>
      <rPr>
        <sz val="14"/>
        <color rgb="FFFF0000"/>
        <rFont val="宋体"/>
        <charset val="134"/>
      </rPr>
      <t>表模版不准许随意更改（表格里有计算公式），客户要求除外</t>
    </r>
    <r>
      <rPr>
        <sz val="14"/>
        <color rgb="FFFF0000"/>
        <rFont val="Helvetica"/>
        <charset val="134"/>
      </rPr>
      <t xml:space="preserve">
2. CT</t>
    </r>
    <r>
      <rPr>
        <sz val="14"/>
        <color rgb="FFFF0000"/>
        <rFont val="宋体"/>
        <charset val="134"/>
      </rPr>
      <t>分析计算参考《</t>
    </r>
    <r>
      <rPr>
        <sz val="14"/>
        <color rgb="FFFF0000"/>
        <rFont val="Helvetica"/>
        <charset val="134"/>
      </rPr>
      <t>CT</t>
    </r>
    <r>
      <rPr>
        <sz val="14"/>
        <color rgb="FFFF0000"/>
        <rFont val="宋体"/>
        <charset val="134"/>
      </rPr>
      <t>分析理论计算》表。</t>
    </r>
    <r>
      <rPr>
        <sz val="14"/>
        <color rgb="FFFF0000"/>
        <rFont val="Helvetica"/>
        <charset val="134"/>
      </rPr>
      <t xml:space="preserve">
3. </t>
    </r>
    <r>
      <rPr>
        <sz val="14"/>
        <color rgb="FFFF0000"/>
        <rFont val="宋体"/>
        <charset val="134"/>
      </rPr>
      <t>单工站合计时间填充为黄色</t>
    </r>
    <r>
      <rPr>
        <sz val="14"/>
        <color rgb="FFFF0000"/>
        <rFont val="Helvetica"/>
        <charset val="134"/>
      </rPr>
      <t xml:space="preserve">
4. </t>
    </r>
    <r>
      <rPr>
        <sz val="14"/>
        <color rgb="FFFF0000"/>
        <rFont val="宋体"/>
        <charset val="134"/>
      </rPr>
      <t>时间坎特图填充颜色根据不同功能工站填充不同颜色，主要用于区分</t>
    </r>
    <r>
      <rPr>
        <sz val="14"/>
        <color rgb="FFFF0000"/>
        <rFont val="Helvetica"/>
        <charset val="134"/>
      </rPr>
      <t xml:space="preserve">
5. UPH</t>
    </r>
    <r>
      <rPr>
        <sz val="14"/>
        <color rgb="FFFF0000"/>
        <rFont val="宋体"/>
        <charset val="134"/>
      </rPr>
      <t>计算的</t>
    </r>
    <r>
      <rPr>
        <sz val="14"/>
        <color rgb="FFFF0000"/>
        <rFont val="Helvetica"/>
        <charset val="134"/>
      </rPr>
      <t xml:space="preserve"> Down time</t>
    </r>
    <r>
      <rPr>
        <sz val="14"/>
        <color rgb="FFFF0000"/>
        <rFont val="宋体"/>
        <charset val="134"/>
      </rPr>
      <t>、</t>
    </r>
    <r>
      <rPr>
        <sz val="14"/>
        <color rgb="FFFF0000"/>
        <rFont val="Helvetica"/>
        <charset val="134"/>
      </rPr>
      <t>Re-test</t>
    </r>
    <r>
      <rPr>
        <sz val="14"/>
        <color rgb="FFFF0000"/>
        <rFont val="宋体"/>
        <charset val="134"/>
      </rPr>
      <t>、</t>
    </r>
    <r>
      <rPr>
        <sz val="14"/>
        <color rgb="FFFF0000"/>
        <rFont val="Helvetica"/>
        <charset val="134"/>
      </rPr>
      <t>Tossing</t>
    </r>
    <r>
      <rPr>
        <sz val="14"/>
        <color rgb="FFFF0000"/>
        <rFont val="宋体"/>
        <charset val="134"/>
      </rPr>
      <t>、</t>
    </r>
    <r>
      <rPr>
        <sz val="14"/>
        <color rgb="FFFF0000"/>
        <rFont val="Helvetica"/>
        <charset val="134"/>
      </rPr>
      <t>Yiel</t>
    </r>
    <r>
      <rPr>
        <sz val="14"/>
        <color rgb="FFFF0000"/>
        <rFont val="宋体"/>
        <charset val="134"/>
      </rPr>
      <t>可以根据项目需求更改。</t>
    </r>
    <r>
      <rPr>
        <sz val="14"/>
        <color theme="1"/>
        <rFont val="Helvetica"/>
        <charset val="134"/>
      </rPr>
      <t xml:space="preserve">
</t>
    </r>
  </si>
  <si>
    <t>XXX设备CT分析</t>
  </si>
  <si>
    <t>下盖上料</t>
  </si>
  <si>
    <t>来料模组运送至扫码</t>
  </si>
  <si>
    <t>X\Y\U</t>
  </si>
  <si>
    <t>对下盖摆正</t>
  </si>
  <si>
    <t>电缸</t>
  </si>
  <si>
    <t>取料模组</t>
  </si>
  <si>
    <t>取料模组X轴移动至取料位</t>
  </si>
  <si>
    <t>取料模组Z轴下降</t>
  </si>
  <si>
    <t>吸取产品</t>
  </si>
  <si>
    <t>取料模组Z轴上升</t>
  </si>
  <si>
    <t>移动</t>
  </si>
  <si>
    <t>移动至下料位</t>
  </si>
  <si>
    <t>X轴移动至初始位置</t>
  </si>
  <si>
    <r>
      <rPr>
        <sz val="10"/>
        <color theme="1"/>
        <rFont val="Helvetica"/>
        <charset val="134"/>
      </rPr>
      <t xml:space="preserve">  </t>
    </r>
    <r>
      <rPr>
        <sz val="10"/>
        <color theme="1"/>
        <rFont val="宋体"/>
        <charset val="134"/>
      </rPr>
      <t>装配工位耗时最长，设备</t>
    </r>
    <r>
      <rPr>
        <sz val="10"/>
        <color theme="1"/>
        <rFont val="Helvetica"/>
        <charset val="134"/>
      </rPr>
      <t xml:space="preserve"> CT 9s/pcs</t>
    </r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</si>
</sst>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);[Red]\(0.0\)"/>
  </numFmts>
  <fonts count="43">
    <font>
      <sz val="12"/>
      <name val="宋体"/>
      <charset val="134"/>
    </font>
    <font>
      <sz val="8"/>
      <name val="微软雅黑"/>
      <charset val="0"/>
    </font>
    <font>
      <sz val="8"/>
      <color theme="1"/>
      <name val="Helvetica"/>
      <charset val="134"/>
    </font>
    <font>
      <sz val="6"/>
      <color theme="1"/>
      <name val="微软雅黑"/>
      <charset val="134"/>
    </font>
    <font>
      <b/>
      <sz val="16"/>
      <name val="微软雅黑"/>
      <charset val="0"/>
    </font>
    <font>
      <sz val="9"/>
      <color rgb="FF000000"/>
      <name val="微软雅黑"/>
      <charset val="0"/>
    </font>
    <font>
      <sz val="9"/>
      <color rgb="FF000000"/>
      <name val="微软雅黑"/>
      <charset val="134"/>
    </font>
    <font>
      <sz val="8"/>
      <color rgb="FF000000"/>
      <name val="微软雅黑"/>
      <charset val="134"/>
    </font>
    <font>
      <sz val="10"/>
      <color rgb="FF000000"/>
      <name val="微软雅黑"/>
      <charset val="134"/>
    </font>
    <font>
      <sz val="8"/>
      <color rgb="FF000000"/>
      <name val="宋体"/>
      <charset val="134"/>
    </font>
    <font>
      <sz val="10"/>
      <name val="微软雅黑"/>
      <charset val="134"/>
    </font>
    <font>
      <sz val="10"/>
      <color theme="1"/>
      <name val="Helvetica"/>
      <charset val="134"/>
    </font>
    <font>
      <sz val="14"/>
      <color rgb="FFFF0000"/>
      <name val="Helvetica"/>
      <charset val="134"/>
    </font>
    <font>
      <sz val="14"/>
      <color theme="1"/>
      <name val="Helvetica"/>
      <charset val="134"/>
    </font>
    <font>
      <sz val="12"/>
      <name val="微软雅黑"/>
      <charset val="134"/>
    </font>
    <font>
      <sz val="8"/>
      <color theme="1"/>
      <name val="微软雅黑"/>
      <charset val="0"/>
    </font>
    <font>
      <sz val="10"/>
      <color rgb="FF000000"/>
      <name val="微软雅黑"/>
      <charset val="0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b/>
      <sz val="12"/>
      <color rgb="FF000000"/>
      <name val="思源黑体 CN Light"/>
      <charset val="134"/>
    </font>
    <font>
      <sz val="10"/>
      <color rgb="FF000000"/>
      <name val="思源黑体 CN Light"/>
      <charset val="134"/>
    </font>
    <font>
      <sz val="11"/>
      <color rgb="FF000000"/>
      <name val="思源黑体 CN Light"/>
      <charset val="134"/>
    </font>
    <font>
      <b/>
      <sz val="10"/>
      <color rgb="FF000000"/>
      <name val="思源黑体 CN Light"/>
      <charset val="134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4"/>
      <color rgb="FFFF0000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3" fillId="2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5" borderId="12" applyNumberFormat="0" applyFont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5" fillId="28" borderId="15" applyNumberFormat="0" applyAlignment="0" applyProtection="0">
      <alignment vertical="center"/>
    </xf>
    <xf numFmtId="0" fontId="36" fillId="28" borderId="11" applyNumberFormat="0" applyAlignment="0" applyProtection="0">
      <alignment vertical="center"/>
    </xf>
    <xf numFmtId="0" fontId="37" fillId="29" borderId="16" applyNumberForma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18" fillId="0" borderId="0"/>
  </cellStyleXfs>
  <cellXfs count="10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/>
    <xf numFmtId="176" fontId="3" fillId="0" borderId="0" xfId="0" applyNumberFormat="1" applyFont="1" applyFill="1" applyAlignment="1"/>
    <xf numFmtId="177" fontId="3" fillId="0" borderId="0" xfId="0" applyNumberFormat="1" applyFont="1" applyFill="1" applyAlignment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76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horizontal="center" vertical="center" shrinkToFit="1"/>
    </xf>
    <xf numFmtId="176" fontId="8" fillId="0" borderId="3" xfId="0" applyNumberFormat="1" applyFont="1" applyFill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 wrapText="1" readingOrder="1"/>
    </xf>
    <xf numFmtId="0" fontId="10" fillId="0" borderId="3" xfId="0" applyFont="1" applyBorder="1">
      <alignment vertical="center"/>
    </xf>
    <xf numFmtId="0" fontId="8" fillId="0" borderId="2" xfId="0" applyFont="1" applyFill="1" applyBorder="1" applyAlignment="1">
      <alignment horizontal="center" vertical="center" wrapText="1" shrinkToFit="1"/>
    </xf>
    <xf numFmtId="0" fontId="8" fillId="0" borderId="1" xfId="0" applyFont="1" applyBorder="1" applyAlignment="1">
      <alignment horizontal="center" vertical="center" wrapText="1"/>
    </xf>
    <xf numFmtId="0" fontId="1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" fillId="0" borderId="0" xfId="0" applyFont="1" applyAlignment="1">
      <alignment vertical="center"/>
    </xf>
    <xf numFmtId="176" fontId="7" fillId="0" borderId="1" xfId="0" applyNumberFormat="1" applyFont="1" applyFill="1" applyBorder="1" applyAlignment="1">
      <alignment horizontal="center" vertical="center" wrapText="1" readingOrder="1"/>
    </xf>
    <xf numFmtId="177" fontId="7" fillId="0" borderId="1" xfId="0" applyNumberFormat="1" applyFont="1" applyFill="1" applyBorder="1" applyAlignment="1">
      <alignment horizontal="center" vertical="center" wrapText="1" readingOrder="1"/>
    </xf>
    <xf numFmtId="0" fontId="7" fillId="0" borderId="5" xfId="0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 applyProtection="1">
      <alignment horizontal="center" vertical="center"/>
    </xf>
    <xf numFmtId="0" fontId="8" fillId="0" borderId="3" xfId="0" applyFont="1" applyFill="1" applyBorder="1" applyAlignment="1">
      <alignment horizontal="center" vertical="center" wrapText="1" readingOrder="1"/>
    </xf>
    <xf numFmtId="177" fontId="8" fillId="0" borderId="3" xfId="0" applyNumberFormat="1" applyFont="1" applyFill="1" applyBorder="1" applyAlignment="1">
      <alignment horizontal="center" vertical="center" wrapText="1" readingOrder="1"/>
    </xf>
    <xf numFmtId="177" fontId="10" fillId="0" borderId="6" xfId="0" applyNumberFormat="1" applyFont="1" applyFill="1" applyBorder="1" applyAlignment="1">
      <alignment horizontal="center" vertical="center" wrapText="1" readingOrder="1"/>
    </xf>
    <xf numFmtId="0" fontId="1" fillId="4" borderId="3" xfId="0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14" fillId="5" borderId="3" xfId="0" applyFont="1" applyFill="1" applyBorder="1">
      <alignment vertical="center"/>
    </xf>
    <xf numFmtId="0" fontId="14" fillId="0" borderId="3" xfId="0" applyFont="1" applyFill="1" applyBorder="1">
      <alignment vertical="center"/>
    </xf>
    <xf numFmtId="0" fontId="2" fillId="3" borderId="0" xfId="0" applyFont="1" applyFill="1" applyAlignment="1">
      <alignment vertical="center"/>
    </xf>
    <xf numFmtId="0" fontId="1" fillId="5" borderId="3" xfId="0" applyFont="1" applyFill="1" applyBorder="1">
      <alignment vertical="center"/>
    </xf>
    <xf numFmtId="0" fontId="15" fillId="0" borderId="3" xfId="0" applyFont="1" applyFill="1" applyBorder="1" applyAlignment="1">
      <alignment vertical="center"/>
    </xf>
    <xf numFmtId="0" fontId="1" fillId="0" borderId="0" xfId="0" applyFont="1" applyFill="1">
      <alignment vertical="center"/>
    </xf>
    <xf numFmtId="0" fontId="14" fillId="0" borderId="3" xfId="0" applyFont="1" applyBorder="1">
      <alignment vertical="center"/>
    </xf>
    <xf numFmtId="0" fontId="1" fillId="0" borderId="7" xfId="0" applyFont="1" applyBorder="1" applyAlignment="1">
      <alignment vertical="center"/>
    </xf>
    <xf numFmtId="0" fontId="14" fillId="0" borderId="0" xfId="0" applyFont="1">
      <alignment vertical="center"/>
    </xf>
    <xf numFmtId="0" fontId="3" fillId="0" borderId="0" xfId="0" applyFont="1" applyFill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176" fontId="8" fillId="0" borderId="1" xfId="0" applyNumberFormat="1" applyFont="1" applyFill="1" applyBorder="1" applyAlignment="1">
      <alignment horizontal="center" vertical="center" wrapText="1" readingOrder="1"/>
    </xf>
    <xf numFmtId="0" fontId="8" fillId="0" borderId="4" xfId="0" applyFont="1" applyFill="1" applyBorder="1" applyAlignment="1">
      <alignment horizontal="center" vertical="center" wrapText="1"/>
    </xf>
    <xf numFmtId="0" fontId="10" fillId="0" borderId="3" xfId="0" applyFont="1" applyFill="1" applyBorder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vertical="center" wrapText="1"/>
    </xf>
    <xf numFmtId="0" fontId="17" fillId="0" borderId="0" xfId="0" applyFont="1" applyFill="1" applyAlignment="1">
      <alignment horizontal="left" vertical="center"/>
    </xf>
    <xf numFmtId="0" fontId="1" fillId="6" borderId="3" xfId="0" applyFont="1" applyFill="1" applyBorder="1">
      <alignment vertical="center"/>
    </xf>
    <xf numFmtId="177" fontId="10" fillId="7" borderId="6" xfId="0" applyNumberFormat="1" applyFont="1" applyFill="1" applyBorder="1" applyAlignment="1">
      <alignment horizontal="center" vertical="center" wrapText="1" readingOrder="1"/>
    </xf>
    <xf numFmtId="0" fontId="1" fillId="8" borderId="3" xfId="0" applyFont="1" applyFill="1" applyBorder="1">
      <alignment vertical="center"/>
    </xf>
    <xf numFmtId="177" fontId="10" fillId="0" borderId="3" xfId="0" applyNumberFormat="1" applyFont="1" applyFill="1" applyBorder="1" applyAlignment="1">
      <alignment horizontal="center" vertical="center" wrapText="1" readingOrder="1"/>
    </xf>
    <xf numFmtId="0" fontId="1" fillId="9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177" fontId="10" fillId="0" borderId="5" xfId="0" applyNumberFormat="1" applyFont="1" applyFill="1" applyBorder="1" applyAlignment="1">
      <alignment horizontal="center" vertical="center" wrapText="1" readingOrder="1"/>
    </xf>
    <xf numFmtId="177" fontId="10" fillId="7" borderId="5" xfId="0" applyNumberFormat="1" applyFont="1" applyFill="1" applyBorder="1" applyAlignment="1">
      <alignment horizontal="center" vertical="center" wrapText="1" readingOrder="1"/>
    </xf>
    <xf numFmtId="0" fontId="1" fillId="10" borderId="1" xfId="0" applyFont="1" applyFill="1" applyBorder="1">
      <alignment vertical="center"/>
    </xf>
    <xf numFmtId="177" fontId="10" fillId="7" borderId="3" xfId="0" applyNumberFormat="1" applyFont="1" applyFill="1" applyBorder="1" applyAlignment="1">
      <alignment horizontal="center" vertical="center" wrapText="1" readingOrder="1"/>
    </xf>
    <xf numFmtId="0" fontId="1" fillId="11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12" borderId="3" xfId="0" applyFont="1" applyFill="1" applyBorder="1">
      <alignment vertical="center"/>
    </xf>
    <xf numFmtId="0" fontId="1" fillId="0" borderId="3" xfId="0" applyFont="1" applyBorder="1">
      <alignment vertical="center"/>
    </xf>
    <xf numFmtId="0" fontId="15" fillId="0" borderId="1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19" fillId="13" borderId="8" xfId="0" applyFont="1" applyFill="1" applyBorder="1" applyAlignment="1">
      <alignment horizontal="center" vertical="center" wrapText="1"/>
    </xf>
    <xf numFmtId="0" fontId="19" fillId="13" borderId="9" xfId="0" applyFont="1" applyFill="1" applyBorder="1" applyAlignment="1">
      <alignment horizontal="center" vertical="center" wrapText="1"/>
    </xf>
    <xf numFmtId="0" fontId="0" fillId="13" borderId="9" xfId="0" applyFill="1" applyBorder="1" applyAlignment="1">
      <alignment horizontal="center" vertical="center" wrapText="1"/>
    </xf>
    <xf numFmtId="0" fontId="20" fillId="14" borderId="3" xfId="0" applyFont="1" applyFill="1" applyBorder="1" applyAlignment="1">
      <alignment horizontal="center" vertical="center" wrapText="1"/>
    </xf>
    <xf numFmtId="0" fontId="21" fillId="14" borderId="2" xfId="0" applyFont="1" applyFill="1" applyBorder="1" applyAlignment="1">
      <alignment horizontal="center" vertical="center" wrapText="1"/>
    </xf>
    <xf numFmtId="0" fontId="20" fillId="14" borderId="2" xfId="0" applyFont="1" applyFill="1" applyBorder="1" applyAlignment="1">
      <alignment horizontal="center" vertical="center" wrapText="1"/>
    </xf>
    <xf numFmtId="0" fontId="20" fillId="15" borderId="3" xfId="0" applyFont="1" applyFill="1" applyBorder="1" applyAlignment="1">
      <alignment horizontal="center" vertical="center" wrapText="1"/>
    </xf>
    <xf numFmtId="0" fontId="21" fillId="14" borderId="4" xfId="0" applyFont="1" applyFill="1" applyBorder="1" applyAlignment="1">
      <alignment horizontal="center" vertical="center" wrapText="1"/>
    </xf>
    <xf numFmtId="0" fontId="20" fillId="14" borderId="4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 wrapText="1"/>
    </xf>
    <xf numFmtId="0" fontId="22" fillId="13" borderId="10" xfId="0" applyFont="1" applyFill="1" applyBorder="1" applyAlignment="1">
      <alignment horizontal="center" vertical="center" wrapText="1"/>
    </xf>
    <xf numFmtId="0" fontId="20" fillId="16" borderId="3" xfId="0" applyFont="1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20" fillId="17" borderId="3" xfId="0" applyFont="1" applyFill="1" applyBorder="1" applyAlignment="1">
      <alignment horizontal="center" vertical="center" wrapText="1"/>
    </xf>
    <xf numFmtId="0" fontId="0" fillId="18" borderId="0" xfId="0" applyFill="1" applyBorder="1" applyAlignment="1">
      <alignment horizontal="center" vertical="center"/>
    </xf>
    <xf numFmtId="0" fontId="20" fillId="19" borderId="3" xfId="0" applyFont="1" applyFill="1" applyBorder="1" applyAlignment="1">
      <alignment horizontal="center" vertical="center" wrapText="1"/>
    </xf>
    <xf numFmtId="0" fontId="0" fillId="20" borderId="0" xfId="0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colors>
    <mruColors>
      <color rgb="00D0CECE"/>
      <color rgb="00A6A6A6"/>
      <color rgb="00BF8F00"/>
      <color rgb="00A9D08E"/>
      <color rgb="00B4C6E7"/>
      <color rgb="00FFD966"/>
      <color rgb="00FFFFFF"/>
      <color rgb="0000B0F0"/>
      <color rgb="0000B05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36</xdr:row>
      <xdr:rowOff>0</xdr:rowOff>
    </xdr:from>
    <xdr:to>
      <xdr:col>6</xdr:col>
      <xdr:colOff>812800</xdr:colOff>
      <xdr:row>58</xdr:row>
      <xdr:rowOff>203835</xdr:rowOff>
    </xdr:to>
    <xdr:pic>
      <xdr:nvPicPr>
        <xdr:cNvPr id="12604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339965"/>
          <a:ext cx="7315200" cy="45567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1</xdr:col>
      <xdr:colOff>857885</xdr:colOff>
      <xdr:row>1</xdr:row>
      <xdr:rowOff>6985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1917065" cy="5073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1</xdr:col>
      <xdr:colOff>982980</xdr:colOff>
      <xdr:row>1</xdr:row>
      <xdr:rowOff>6985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1917065" cy="5073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00B050"/>
  </sheetPr>
  <dimension ref="A1:AH38"/>
  <sheetViews>
    <sheetView zoomScale="70" zoomScaleNormal="70" workbookViewId="0">
      <selection activeCell="E2" sqref="E2:E7"/>
    </sheetView>
  </sheetViews>
  <sheetFormatPr defaultColWidth="9" defaultRowHeight="15.6"/>
  <cols>
    <col min="1" max="1" width="9" style="74"/>
    <col min="2" max="2" width="7.33333333333333" style="74" customWidth="1"/>
    <col min="3" max="5" width="14.3333333333333" style="74" customWidth="1"/>
    <col min="6" max="6" width="26" style="74" customWidth="1"/>
    <col min="7" max="7" width="13.5" style="74" customWidth="1"/>
    <col min="8" max="8" width="9.33333333333333" style="74" customWidth="1"/>
    <col min="9" max="9" width="16.3333333333333" style="74" customWidth="1"/>
    <col min="10" max="11" width="11.1666666666667" style="74" customWidth="1"/>
    <col min="12" max="12" width="4.5" style="74" customWidth="1"/>
    <col min="13" max="30" width="3.66666666666667" style="74" customWidth="1"/>
    <col min="31" max="34" width="5.66666666666667" style="74" customWidth="1"/>
    <col min="35" max="16384" width="9" style="74"/>
  </cols>
  <sheetData>
    <row r="1" ht="31.95" spans="1:34">
      <c r="A1" s="75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91">
        <v>0.5</v>
      </c>
      <c r="M1" s="91">
        <v>1</v>
      </c>
      <c r="N1" s="91">
        <v>1.5</v>
      </c>
      <c r="O1" s="91">
        <v>2</v>
      </c>
      <c r="P1" s="91">
        <v>2.5</v>
      </c>
      <c r="Q1" s="91">
        <v>3</v>
      </c>
      <c r="R1" s="91">
        <v>3.5</v>
      </c>
      <c r="S1" s="91">
        <v>4</v>
      </c>
      <c r="T1" s="91">
        <v>4.5</v>
      </c>
      <c r="U1" s="91">
        <v>5</v>
      </c>
      <c r="V1" s="91">
        <v>5.5</v>
      </c>
      <c r="W1" s="91">
        <v>6</v>
      </c>
      <c r="X1" s="91">
        <v>6.5</v>
      </c>
      <c r="Y1" s="91">
        <v>7</v>
      </c>
      <c r="Z1" s="91">
        <v>7.5</v>
      </c>
      <c r="AA1" s="91">
        <v>8</v>
      </c>
      <c r="AB1" s="91">
        <v>8.5</v>
      </c>
      <c r="AC1" s="91">
        <v>9</v>
      </c>
      <c r="AD1" s="91">
        <v>9.5</v>
      </c>
      <c r="AE1" s="91">
        <v>10</v>
      </c>
      <c r="AF1" s="91">
        <v>10.5</v>
      </c>
      <c r="AG1" s="91">
        <v>11</v>
      </c>
      <c r="AH1" s="91">
        <v>11.5</v>
      </c>
    </row>
    <row r="2" spans="1:34">
      <c r="A2" s="78">
        <v>1</v>
      </c>
      <c r="B2" s="79" t="s">
        <v>11</v>
      </c>
      <c r="C2" s="80" t="s">
        <v>12</v>
      </c>
      <c r="D2" s="80" t="s">
        <v>13</v>
      </c>
      <c r="E2" s="80">
        <f>SUM(J2:J7)</f>
        <v>2.87</v>
      </c>
      <c r="F2" s="78" t="s">
        <v>14</v>
      </c>
      <c r="G2" s="81">
        <v>900</v>
      </c>
      <c r="H2" s="81">
        <v>1500</v>
      </c>
      <c r="I2" s="81">
        <v>0.4</v>
      </c>
      <c r="J2" s="92">
        <f t="shared" ref="J2:J36" si="0">(G2/H2)+I2</f>
        <v>1</v>
      </c>
      <c r="K2" s="92">
        <f>J2</f>
        <v>1</v>
      </c>
      <c r="L2" s="93"/>
      <c r="M2" s="93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</row>
    <row r="3" spans="1:34">
      <c r="A3" s="78">
        <v>2</v>
      </c>
      <c r="B3" s="82"/>
      <c r="C3" s="83"/>
      <c r="D3" s="83"/>
      <c r="E3" s="83"/>
      <c r="F3" s="78" t="s">
        <v>15</v>
      </c>
      <c r="G3" s="81">
        <v>0</v>
      </c>
      <c r="H3" s="81">
        <v>1</v>
      </c>
      <c r="I3" s="81">
        <v>0.4</v>
      </c>
      <c r="J3" s="92">
        <f t="shared" si="0"/>
        <v>0.4</v>
      </c>
      <c r="K3" s="92">
        <f t="shared" ref="K3:K29" si="1">K2+J3</f>
        <v>1.4</v>
      </c>
      <c r="L3" s="95"/>
      <c r="M3" s="95"/>
      <c r="N3" s="96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</row>
    <row r="4" spans="1:34">
      <c r="A4" s="78">
        <v>3</v>
      </c>
      <c r="B4" s="82"/>
      <c r="C4" s="83"/>
      <c r="D4" s="83"/>
      <c r="E4" s="83"/>
      <c r="F4" s="78" t="s">
        <v>16</v>
      </c>
      <c r="G4" s="81">
        <v>200</v>
      </c>
      <c r="H4" s="81">
        <v>800</v>
      </c>
      <c r="I4" s="81">
        <v>0.2</v>
      </c>
      <c r="J4" s="92">
        <f t="shared" si="0"/>
        <v>0.45</v>
      </c>
      <c r="K4" s="92">
        <f t="shared" si="1"/>
        <v>1.85</v>
      </c>
      <c r="L4" s="95"/>
      <c r="M4" s="95"/>
      <c r="N4" s="95"/>
      <c r="O4" s="96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</row>
    <row r="5" spans="1:34">
      <c r="A5" s="78">
        <v>4</v>
      </c>
      <c r="B5" s="82"/>
      <c r="C5" s="83"/>
      <c r="D5" s="83"/>
      <c r="E5" s="83"/>
      <c r="F5" s="78" t="s">
        <v>17</v>
      </c>
      <c r="G5" s="81">
        <v>80</v>
      </c>
      <c r="H5" s="81">
        <v>500</v>
      </c>
      <c r="I5" s="81">
        <v>0.2</v>
      </c>
      <c r="J5" s="92">
        <f t="shared" si="0"/>
        <v>0.36</v>
      </c>
      <c r="K5" s="92">
        <f t="shared" si="1"/>
        <v>2.21</v>
      </c>
      <c r="L5" s="95"/>
      <c r="M5" s="95"/>
      <c r="N5" s="95"/>
      <c r="O5" s="95"/>
      <c r="P5" s="96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</row>
    <row r="6" spans="1:34">
      <c r="A6" s="78">
        <v>5</v>
      </c>
      <c r="B6" s="82"/>
      <c r="C6" s="83"/>
      <c r="D6" s="83"/>
      <c r="E6" s="83"/>
      <c r="F6" s="78" t="s">
        <v>18</v>
      </c>
      <c r="G6" s="81">
        <v>0</v>
      </c>
      <c r="H6" s="81">
        <v>1</v>
      </c>
      <c r="I6" s="81">
        <v>0.5</v>
      </c>
      <c r="J6" s="92">
        <f t="shared" si="0"/>
        <v>0.5</v>
      </c>
      <c r="K6" s="92">
        <f t="shared" si="1"/>
        <v>2.71</v>
      </c>
      <c r="L6" s="95"/>
      <c r="M6" s="95"/>
      <c r="N6" s="95"/>
      <c r="O6" s="95"/>
      <c r="P6" s="96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</row>
    <row r="7" spans="1:34">
      <c r="A7" s="78">
        <v>6</v>
      </c>
      <c r="B7" s="82"/>
      <c r="C7" s="83"/>
      <c r="D7" s="84"/>
      <c r="E7" s="84"/>
      <c r="F7" s="78" t="s">
        <v>16</v>
      </c>
      <c r="G7" s="81">
        <v>80</v>
      </c>
      <c r="H7" s="81">
        <v>500</v>
      </c>
      <c r="I7" s="81">
        <v>0</v>
      </c>
      <c r="J7" s="92">
        <f t="shared" si="0"/>
        <v>0.16</v>
      </c>
      <c r="K7" s="92">
        <f t="shared" si="1"/>
        <v>2.87</v>
      </c>
      <c r="L7" s="95"/>
      <c r="M7" s="95"/>
      <c r="N7" s="95"/>
      <c r="O7" s="95"/>
      <c r="P7" s="95"/>
      <c r="Q7" s="96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</row>
    <row r="8" spans="1:34">
      <c r="A8" s="78">
        <v>7</v>
      </c>
      <c r="B8" s="82"/>
      <c r="C8" s="83"/>
      <c r="D8" s="80" t="s">
        <v>19</v>
      </c>
      <c r="E8" s="80">
        <f>SUM(J8:J13)</f>
        <v>2.32</v>
      </c>
      <c r="F8" s="78" t="s">
        <v>20</v>
      </c>
      <c r="G8" s="81">
        <v>200</v>
      </c>
      <c r="H8" s="81">
        <v>800</v>
      </c>
      <c r="I8" s="81">
        <v>0.2</v>
      </c>
      <c r="J8" s="92">
        <f t="shared" si="0"/>
        <v>0.45</v>
      </c>
      <c r="K8" s="92">
        <f t="shared" si="1"/>
        <v>3.32</v>
      </c>
      <c r="L8" s="95"/>
      <c r="M8" s="95"/>
      <c r="N8" s="95"/>
      <c r="O8" s="95"/>
      <c r="P8" s="95"/>
      <c r="Q8" s="95"/>
      <c r="R8" s="96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</row>
    <row r="9" spans="1:34">
      <c r="A9" s="78">
        <v>8</v>
      </c>
      <c r="B9" s="82"/>
      <c r="C9" s="83"/>
      <c r="D9" s="83"/>
      <c r="E9" s="83"/>
      <c r="F9" s="78" t="s">
        <v>15</v>
      </c>
      <c r="G9" s="81">
        <v>0</v>
      </c>
      <c r="H9" s="81">
        <v>1</v>
      </c>
      <c r="I9" s="81">
        <v>0.4</v>
      </c>
      <c r="J9" s="92">
        <f t="shared" si="0"/>
        <v>0.4</v>
      </c>
      <c r="K9" s="92">
        <f t="shared" si="1"/>
        <v>3.72</v>
      </c>
      <c r="L9" s="95"/>
      <c r="M9" s="95"/>
      <c r="N9" s="95"/>
      <c r="O9" s="95"/>
      <c r="P9" s="95"/>
      <c r="Q9" s="95"/>
      <c r="R9" s="95"/>
      <c r="S9" s="96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</row>
    <row r="10" spans="1:34">
      <c r="A10" s="78">
        <v>9</v>
      </c>
      <c r="B10" s="82"/>
      <c r="C10" s="83"/>
      <c r="D10" s="83"/>
      <c r="E10" s="83"/>
      <c r="F10" s="78" t="s">
        <v>16</v>
      </c>
      <c r="G10" s="81">
        <v>200</v>
      </c>
      <c r="H10" s="81">
        <v>800</v>
      </c>
      <c r="I10" s="81">
        <v>0.2</v>
      </c>
      <c r="J10" s="92">
        <f t="shared" si="0"/>
        <v>0.45</v>
      </c>
      <c r="K10" s="92">
        <f t="shared" si="1"/>
        <v>4.17</v>
      </c>
      <c r="L10" s="95"/>
      <c r="M10" s="95"/>
      <c r="N10" s="95"/>
      <c r="O10" s="95"/>
      <c r="P10" s="95"/>
      <c r="Q10" s="95"/>
      <c r="R10" s="95"/>
      <c r="S10" s="95"/>
      <c r="T10" s="96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</row>
    <row r="11" spans="1:34">
      <c r="A11" s="78">
        <v>10</v>
      </c>
      <c r="B11" s="82"/>
      <c r="C11" s="83"/>
      <c r="D11" s="83"/>
      <c r="E11" s="83"/>
      <c r="F11" s="78" t="s">
        <v>17</v>
      </c>
      <c r="G11" s="81">
        <v>80</v>
      </c>
      <c r="H11" s="81">
        <v>500</v>
      </c>
      <c r="I11" s="81">
        <v>0.2</v>
      </c>
      <c r="J11" s="92">
        <f t="shared" si="0"/>
        <v>0.36</v>
      </c>
      <c r="K11" s="92">
        <f t="shared" si="1"/>
        <v>4.53</v>
      </c>
      <c r="L11" s="95"/>
      <c r="M11" s="95"/>
      <c r="N11" s="95"/>
      <c r="O11" s="95"/>
      <c r="P11" s="95"/>
      <c r="Q11" s="95"/>
      <c r="R11" s="95"/>
      <c r="S11" s="95"/>
      <c r="T11" s="95"/>
      <c r="U11" s="96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</row>
    <row r="12" spans="1:34">
      <c r="A12" s="78">
        <v>11</v>
      </c>
      <c r="B12" s="82"/>
      <c r="C12" s="83"/>
      <c r="D12" s="83"/>
      <c r="E12" s="83"/>
      <c r="F12" s="78" t="s">
        <v>18</v>
      </c>
      <c r="G12" s="81">
        <v>0</v>
      </c>
      <c r="H12" s="81">
        <v>1</v>
      </c>
      <c r="I12" s="81">
        <v>0.5</v>
      </c>
      <c r="J12" s="92">
        <f t="shared" si="0"/>
        <v>0.5</v>
      </c>
      <c r="K12" s="92">
        <f t="shared" si="1"/>
        <v>5.03</v>
      </c>
      <c r="L12" s="95"/>
      <c r="M12" s="95"/>
      <c r="N12" s="95"/>
      <c r="O12" s="95"/>
      <c r="P12" s="95"/>
      <c r="Q12" s="95"/>
      <c r="R12" s="95"/>
      <c r="S12" s="95"/>
      <c r="T12" s="95"/>
      <c r="U12" s="96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</row>
    <row r="13" spans="1:34">
      <c r="A13" s="78">
        <v>12</v>
      </c>
      <c r="B13" s="82"/>
      <c r="C13" s="83"/>
      <c r="D13" s="84"/>
      <c r="E13" s="84"/>
      <c r="F13" s="78" t="s">
        <v>16</v>
      </c>
      <c r="G13" s="81">
        <v>80</v>
      </c>
      <c r="H13" s="81">
        <v>500</v>
      </c>
      <c r="I13" s="81">
        <v>0</v>
      </c>
      <c r="J13" s="92">
        <f t="shared" si="0"/>
        <v>0.16</v>
      </c>
      <c r="K13" s="92">
        <f t="shared" si="1"/>
        <v>5.19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6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</row>
    <row r="14" spans="1:34">
      <c r="A14" s="78">
        <v>13</v>
      </c>
      <c r="B14" s="82"/>
      <c r="C14" s="83"/>
      <c r="D14" s="80" t="s">
        <v>21</v>
      </c>
      <c r="E14" s="80">
        <f>SUM(J14:J17)</f>
        <v>2.1</v>
      </c>
      <c r="F14" s="78" t="s">
        <v>22</v>
      </c>
      <c r="G14" s="81">
        <v>600</v>
      </c>
      <c r="H14" s="81">
        <v>1500</v>
      </c>
      <c r="I14" s="81">
        <v>0.4</v>
      </c>
      <c r="J14" s="92">
        <f t="shared" si="0"/>
        <v>0.8</v>
      </c>
      <c r="K14" s="92">
        <f t="shared" si="1"/>
        <v>5.99</v>
      </c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6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</row>
    <row r="15" spans="1:34">
      <c r="A15" s="78">
        <v>14</v>
      </c>
      <c r="B15" s="82"/>
      <c r="C15" s="83"/>
      <c r="D15" s="83"/>
      <c r="E15" s="83"/>
      <c r="F15" s="78" t="s">
        <v>23</v>
      </c>
      <c r="G15" s="81">
        <v>0</v>
      </c>
      <c r="H15" s="81">
        <v>1</v>
      </c>
      <c r="I15" s="81">
        <v>0.45</v>
      </c>
      <c r="J15" s="92">
        <f t="shared" si="0"/>
        <v>0.45</v>
      </c>
      <c r="K15" s="92">
        <f t="shared" si="1"/>
        <v>6.44</v>
      </c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6"/>
      <c r="Y15" s="95"/>
      <c r="Z15" s="95"/>
      <c r="AA15" s="95"/>
      <c r="AB15" s="95"/>
      <c r="AC15" s="95"/>
      <c r="AD15" s="95"/>
      <c r="AE15" s="95"/>
      <c r="AF15" s="95"/>
      <c r="AG15" s="95"/>
      <c r="AH15" s="95"/>
    </row>
    <row r="16" spans="1:34">
      <c r="A16" s="78">
        <v>15</v>
      </c>
      <c r="B16" s="82"/>
      <c r="C16" s="83"/>
      <c r="D16" s="83"/>
      <c r="E16" s="83"/>
      <c r="F16" s="78" t="s">
        <v>24</v>
      </c>
      <c r="G16" s="81">
        <v>200</v>
      </c>
      <c r="H16" s="81">
        <v>800</v>
      </c>
      <c r="I16" s="81">
        <v>0.2</v>
      </c>
      <c r="J16" s="92">
        <f t="shared" si="0"/>
        <v>0.45</v>
      </c>
      <c r="K16" s="92">
        <f t="shared" si="1"/>
        <v>6.89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6"/>
      <c r="Z16" s="95"/>
      <c r="AA16" s="95"/>
      <c r="AB16" s="95"/>
      <c r="AC16" s="95"/>
      <c r="AD16" s="95"/>
      <c r="AE16" s="95"/>
      <c r="AF16" s="95"/>
      <c r="AG16" s="95"/>
      <c r="AH16" s="95"/>
    </row>
    <row r="17" spans="1:34">
      <c r="A17" s="78">
        <v>16</v>
      </c>
      <c r="B17" s="82"/>
      <c r="C17" s="83"/>
      <c r="D17" s="84"/>
      <c r="E17" s="84"/>
      <c r="F17" s="78" t="s">
        <v>23</v>
      </c>
      <c r="G17" s="81">
        <v>0</v>
      </c>
      <c r="H17" s="81">
        <v>1</v>
      </c>
      <c r="I17" s="81">
        <v>0.4</v>
      </c>
      <c r="J17" s="92">
        <f t="shared" si="0"/>
        <v>0.4</v>
      </c>
      <c r="K17" s="92">
        <f t="shared" si="1"/>
        <v>7.29</v>
      </c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6"/>
      <c r="AA17" s="95"/>
      <c r="AB17" s="95"/>
      <c r="AC17" s="95"/>
      <c r="AD17" s="95"/>
      <c r="AE17" s="95"/>
      <c r="AF17" s="95"/>
      <c r="AG17" s="95"/>
      <c r="AH17" s="95"/>
    </row>
    <row r="18" spans="1:34">
      <c r="A18" s="78">
        <v>21</v>
      </c>
      <c r="B18" s="82"/>
      <c r="C18" s="83"/>
      <c r="D18" s="85" t="s">
        <v>25</v>
      </c>
      <c r="E18" s="85">
        <f>SUM(J18:J23)</f>
        <v>2.07</v>
      </c>
      <c r="F18" s="78" t="s">
        <v>26</v>
      </c>
      <c r="G18" s="81">
        <v>200</v>
      </c>
      <c r="H18" s="81">
        <v>800</v>
      </c>
      <c r="I18" s="81">
        <v>0.2</v>
      </c>
      <c r="J18" s="92">
        <f t="shared" si="0"/>
        <v>0.45</v>
      </c>
      <c r="K18" s="92">
        <f t="shared" si="1"/>
        <v>7.74</v>
      </c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6"/>
      <c r="AB18" s="95"/>
      <c r="AC18" s="95"/>
      <c r="AD18" s="95"/>
      <c r="AE18" s="95"/>
      <c r="AF18" s="95"/>
      <c r="AG18" s="95"/>
      <c r="AH18" s="95"/>
    </row>
    <row r="19" spans="1:34">
      <c r="A19" s="78">
        <v>22</v>
      </c>
      <c r="B19" s="82"/>
      <c r="C19" s="83"/>
      <c r="D19" s="86"/>
      <c r="E19" s="86"/>
      <c r="F19" s="78" t="s">
        <v>17</v>
      </c>
      <c r="G19" s="81">
        <v>80</v>
      </c>
      <c r="H19" s="81">
        <v>500</v>
      </c>
      <c r="I19" s="81">
        <v>0.2</v>
      </c>
      <c r="J19" s="92">
        <f t="shared" si="0"/>
        <v>0.36</v>
      </c>
      <c r="K19" s="92">
        <f t="shared" si="1"/>
        <v>8.1</v>
      </c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6"/>
      <c r="AC19" s="95"/>
      <c r="AD19" s="95"/>
      <c r="AE19" s="95"/>
      <c r="AF19" s="95"/>
      <c r="AG19" s="95"/>
      <c r="AH19" s="95"/>
    </row>
    <row r="20" spans="1:34">
      <c r="A20" s="78">
        <v>23</v>
      </c>
      <c r="B20" s="82"/>
      <c r="C20" s="83"/>
      <c r="D20" s="86"/>
      <c r="E20" s="86"/>
      <c r="F20" s="78" t="s">
        <v>27</v>
      </c>
      <c r="G20" s="81">
        <v>0</v>
      </c>
      <c r="H20" s="81">
        <v>1</v>
      </c>
      <c r="I20" s="81">
        <v>0.8</v>
      </c>
      <c r="J20" s="92">
        <f t="shared" si="0"/>
        <v>0.8</v>
      </c>
      <c r="K20" s="92">
        <f t="shared" si="1"/>
        <v>8.9</v>
      </c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6"/>
      <c r="AC20" s="95"/>
      <c r="AD20" s="95"/>
      <c r="AE20" s="95"/>
      <c r="AF20" s="95"/>
      <c r="AG20" s="95"/>
      <c r="AH20" s="95"/>
    </row>
    <row r="21" spans="1:34">
      <c r="A21" s="78">
        <v>24</v>
      </c>
      <c r="B21" s="82"/>
      <c r="C21" s="83"/>
      <c r="D21" s="86"/>
      <c r="E21" s="86"/>
      <c r="F21" s="78" t="s">
        <v>28</v>
      </c>
      <c r="G21" s="81">
        <v>0</v>
      </c>
      <c r="H21" s="81">
        <v>1</v>
      </c>
      <c r="I21" s="81">
        <v>0.2</v>
      </c>
      <c r="J21" s="92">
        <f t="shared" si="0"/>
        <v>0.2</v>
      </c>
      <c r="K21" s="92">
        <f t="shared" si="1"/>
        <v>9.1</v>
      </c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6"/>
      <c r="AD21" s="95"/>
      <c r="AE21" s="95"/>
      <c r="AF21" s="95"/>
      <c r="AG21" s="95"/>
      <c r="AH21" s="95"/>
    </row>
    <row r="22" spans="1:34">
      <c r="A22" s="78">
        <v>25</v>
      </c>
      <c r="B22" s="82"/>
      <c r="C22" s="83"/>
      <c r="D22" s="86"/>
      <c r="E22" s="86"/>
      <c r="F22" s="78" t="s">
        <v>29</v>
      </c>
      <c r="G22" s="81">
        <v>0</v>
      </c>
      <c r="H22" s="81">
        <v>1</v>
      </c>
      <c r="I22" s="81">
        <v>0.1</v>
      </c>
      <c r="J22" s="92">
        <f t="shared" si="0"/>
        <v>0.1</v>
      </c>
      <c r="K22" s="92">
        <f t="shared" si="1"/>
        <v>9.2</v>
      </c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6"/>
      <c r="AD22" s="95"/>
      <c r="AE22" s="95"/>
      <c r="AF22" s="95"/>
      <c r="AG22" s="95"/>
      <c r="AH22" s="95"/>
    </row>
    <row r="23" spans="1:34">
      <c r="A23" s="78">
        <v>26</v>
      </c>
      <c r="B23" s="82"/>
      <c r="C23" s="83"/>
      <c r="D23" s="87"/>
      <c r="E23" s="87"/>
      <c r="F23" s="78" t="s">
        <v>26</v>
      </c>
      <c r="G23" s="81">
        <v>80</v>
      </c>
      <c r="H23" s="81">
        <v>500</v>
      </c>
      <c r="I23" s="81">
        <v>0</v>
      </c>
      <c r="J23" s="92">
        <f t="shared" si="0"/>
        <v>0.16</v>
      </c>
      <c r="K23" s="92">
        <f t="shared" si="1"/>
        <v>9.36</v>
      </c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6"/>
      <c r="AE23" s="95"/>
      <c r="AF23" s="95"/>
      <c r="AG23" s="95"/>
      <c r="AH23" s="95"/>
    </row>
    <row r="24" spans="1:34">
      <c r="A24" s="78">
        <v>27</v>
      </c>
      <c r="B24" s="82"/>
      <c r="C24" s="83"/>
      <c r="D24" s="85" t="s">
        <v>30</v>
      </c>
      <c r="E24" s="85">
        <f>SUM(J24:J29)</f>
        <v>2.07</v>
      </c>
      <c r="F24" s="78" t="s">
        <v>31</v>
      </c>
      <c r="G24" s="81">
        <v>200</v>
      </c>
      <c r="H24" s="81">
        <v>800</v>
      </c>
      <c r="I24" s="81">
        <v>0.2</v>
      </c>
      <c r="J24" s="92">
        <f t="shared" si="0"/>
        <v>0.45</v>
      </c>
      <c r="K24" s="92">
        <f t="shared" si="1"/>
        <v>9.81</v>
      </c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5"/>
      <c r="AG24" s="95"/>
      <c r="AH24" s="95"/>
    </row>
    <row r="25" spans="1:34">
      <c r="A25" s="78">
        <v>28</v>
      </c>
      <c r="B25" s="82"/>
      <c r="C25" s="83"/>
      <c r="D25" s="86"/>
      <c r="E25" s="86"/>
      <c r="F25" s="78" t="s">
        <v>17</v>
      </c>
      <c r="G25" s="81">
        <v>80</v>
      </c>
      <c r="H25" s="81">
        <v>500</v>
      </c>
      <c r="I25" s="81">
        <v>0.2</v>
      </c>
      <c r="J25" s="92">
        <f t="shared" si="0"/>
        <v>0.36</v>
      </c>
      <c r="K25" s="92">
        <f t="shared" si="1"/>
        <v>10.17</v>
      </c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6"/>
      <c r="AG25" s="95"/>
      <c r="AH25" s="95"/>
    </row>
    <row r="26" spans="1:34">
      <c r="A26" s="78">
        <v>29</v>
      </c>
      <c r="B26" s="82"/>
      <c r="C26" s="83"/>
      <c r="D26" s="86"/>
      <c r="E26" s="86"/>
      <c r="F26" s="78" t="s">
        <v>32</v>
      </c>
      <c r="G26" s="81">
        <v>0</v>
      </c>
      <c r="H26" s="81">
        <v>1</v>
      </c>
      <c r="I26" s="81">
        <v>0.8</v>
      </c>
      <c r="J26" s="92">
        <f t="shared" si="0"/>
        <v>0.8</v>
      </c>
      <c r="K26" s="92">
        <f t="shared" si="1"/>
        <v>10.97</v>
      </c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6"/>
      <c r="AG26" s="95"/>
      <c r="AH26" s="95"/>
    </row>
    <row r="27" spans="1:34">
      <c r="A27" s="78">
        <v>30</v>
      </c>
      <c r="B27" s="82"/>
      <c r="C27" s="83"/>
      <c r="D27" s="86"/>
      <c r="E27" s="86"/>
      <c r="F27" s="78" t="s">
        <v>28</v>
      </c>
      <c r="G27" s="81">
        <v>0</v>
      </c>
      <c r="H27" s="81">
        <v>1</v>
      </c>
      <c r="I27" s="81">
        <v>0.2</v>
      </c>
      <c r="J27" s="92">
        <f t="shared" si="0"/>
        <v>0.2</v>
      </c>
      <c r="K27" s="92">
        <f t="shared" si="1"/>
        <v>11.17</v>
      </c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6"/>
      <c r="AH27" s="95"/>
    </row>
    <row r="28" spans="1:34">
      <c r="A28" s="78">
        <v>31</v>
      </c>
      <c r="B28" s="82"/>
      <c r="C28" s="83"/>
      <c r="D28" s="86"/>
      <c r="E28" s="86"/>
      <c r="F28" s="78" t="s">
        <v>29</v>
      </c>
      <c r="G28" s="81">
        <v>0</v>
      </c>
      <c r="H28" s="81">
        <v>1</v>
      </c>
      <c r="I28" s="81">
        <v>0.1</v>
      </c>
      <c r="J28" s="92">
        <f t="shared" si="0"/>
        <v>0.1</v>
      </c>
      <c r="K28" s="92">
        <f t="shared" si="1"/>
        <v>11.27</v>
      </c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6"/>
      <c r="AH28" s="95"/>
    </row>
    <row r="29" spans="1:34">
      <c r="A29" s="78">
        <v>32</v>
      </c>
      <c r="B29" s="82"/>
      <c r="C29" s="84"/>
      <c r="D29" s="87"/>
      <c r="E29" s="87"/>
      <c r="F29" s="78" t="s">
        <v>31</v>
      </c>
      <c r="G29" s="81">
        <v>80</v>
      </c>
      <c r="H29" s="81">
        <v>500</v>
      </c>
      <c r="I29" s="81">
        <v>0</v>
      </c>
      <c r="J29" s="92">
        <f t="shared" si="0"/>
        <v>0.16</v>
      </c>
      <c r="K29" s="92">
        <f t="shared" si="1"/>
        <v>11.43</v>
      </c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6"/>
      <c r="AH29" s="95"/>
    </row>
    <row r="30" spans="1:34">
      <c r="A30" s="78">
        <v>17</v>
      </c>
      <c r="B30" s="82"/>
      <c r="C30" s="85" t="s">
        <v>33</v>
      </c>
      <c r="D30" s="80" t="s">
        <v>34</v>
      </c>
      <c r="E30" s="80">
        <f>SUM(J30:J34)</f>
        <v>3.4</v>
      </c>
      <c r="F30" s="78" t="s">
        <v>35</v>
      </c>
      <c r="G30" s="81">
        <v>300</v>
      </c>
      <c r="H30" s="81">
        <v>500</v>
      </c>
      <c r="I30" s="81">
        <v>0.2</v>
      </c>
      <c r="J30" s="97">
        <f t="shared" si="0"/>
        <v>0.8</v>
      </c>
      <c r="K30" s="97">
        <f>K17+J30</f>
        <v>8.09</v>
      </c>
      <c r="L30" s="95"/>
      <c r="M30" s="95"/>
      <c r="N30" s="95"/>
      <c r="O30" s="98"/>
      <c r="P30" s="98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</row>
    <row r="31" spans="1:34">
      <c r="A31" s="78">
        <v>18</v>
      </c>
      <c r="B31" s="82"/>
      <c r="C31" s="86"/>
      <c r="D31" s="83"/>
      <c r="E31" s="83"/>
      <c r="F31" s="78" t="s">
        <v>15</v>
      </c>
      <c r="G31" s="81">
        <v>0</v>
      </c>
      <c r="H31" s="81">
        <v>1</v>
      </c>
      <c r="I31" s="81">
        <v>0.5</v>
      </c>
      <c r="J31" s="97">
        <f t="shared" si="0"/>
        <v>0.5</v>
      </c>
      <c r="K31" s="97">
        <f>K30+J31</f>
        <v>8.59</v>
      </c>
      <c r="L31" s="95"/>
      <c r="M31" s="95"/>
      <c r="N31" s="95"/>
      <c r="O31" s="95"/>
      <c r="P31" s="95"/>
      <c r="Q31" s="98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</row>
    <row r="32" spans="1:34">
      <c r="A32" s="78">
        <v>19</v>
      </c>
      <c r="B32" s="82"/>
      <c r="C32" s="86"/>
      <c r="D32" s="83"/>
      <c r="E32" s="83"/>
      <c r="F32" s="78" t="s">
        <v>36</v>
      </c>
      <c r="G32" s="81">
        <v>200</v>
      </c>
      <c r="H32" s="81">
        <v>500</v>
      </c>
      <c r="I32" s="81">
        <v>0.2</v>
      </c>
      <c r="J32" s="97">
        <f t="shared" si="0"/>
        <v>0.6</v>
      </c>
      <c r="K32" s="97">
        <f>K31+J32</f>
        <v>9.19</v>
      </c>
      <c r="L32" s="95"/>
      <c r="M32" s="95"/>
      <c r="N32" s="95"/>
      <c r="O32" s="95"/>
      <c r="P32" s="95"/>
      <c r="Q32" s="95"/>
      <c r="R32" s="98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</row>
    <row r="33" spans="1:34">
      <c r="A33" s="78">
        <v>20</v>
      </c>
      <c r="B33" s="82"/>
      <c r="C33" s="86"/>
      <c r="D33" s="83"/>
      <c r="E33" s="83"/>
      <c r="F33" s="78" t="s">
        <v>15</v>
      </c>
      <c r="G33" s="81">
        <v>0</v>
      </c>
      <c r="H33" s="81">
        <v>1</v>
      </c>
      <c r="I33" s="81">
        <v>0.5</v>
      </c>
      <c r="J33" s="97">
        <f t="shared" si="0"/>
        <v>0.5</v>
      </c>
      <c r="K33" s="97">
        <f>K32+J33</f>
        <v>9.69</v>
      </c>
      <c r="L33" s="95"/>
      <c r="M33" s="95"/>
      <c r="N33" s="95"/>
      <c r="O33" s="95"/>
      <c r="P33" s="95"/>
      <c r="Q33" s="95"/>
      <c r="R33" s="95"/>
      <c r="S33" s="98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</row>
    <row r="34" spans="1:34">
      <c r="A34" s="78"/>
      <c r="B34" s="82"/>
      <c r="C34" s="87"/>
      <c r="D34" s="83"/>
      <c r="E34" s="83"/>
      <c r="F34" s="78" t="s">
        <v>37</v>
      </c>
      <c r="G34" s="81">
        <v>500</v>
      </c>
      <c r="H34" s="81">
        <v>500</v>
      </c>
      <c r="I34" s="81">
        <v>0</v>
      </c>
      <c r="J34" s="97">
        <f t="shared" si="0"/>
        <v>1</v>
      </c>
      <c r="K34" s="97">
        <f>K33+J34</f>
        <v>10.69</v>
      </c>
      <c r="L34" s="95"/>
      <c r="M34" s="95"/>
      <c r="N34" s="95"/>
      <c r="O34" s="95"/>
      <c r="P34" s="95"/>
      <c r="Q34" s="95"/>
      <c r="R34" s="95"/>
      <c r="S34" s="95"/>
      <c r="T34" s="98"/>
      <c r="U34" s="98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</row>
    <row r="35" spans="1:34">
      <c r="A35" s="78">
        <v>33</v>
      </c>
      <c r="B35" s="82"/>
      <c r="C35" s="85" t="s">
        <v>38</v>
      </c>
      <c r="D35" s="85" t="s">
        <v>39</v>
      </c>
      <c r="E35" s="85">
        <f>SUM(J35:J36)</f>
        <v>1.65</v>
      </c>
      <c r="F35" s="88" t="s">
        <v>40</v>
      </c>
      <c r="G35" s="89">
        <v>1000</v>
      </c>
      <c r="H35" s="89">
        <v>1600</v>
      </c>
      <c r="I35" s="89">
        <v>0.2</v>
      </c>
      <c r="J35" s="99">
        <f t="shared" si="0"/>
        <v>0.825</v>
      </c>
      <c r="K35" s="99">
        <f>J35+K33</f>
        <v>10.515</v>
      </c>
      <c r="L35" s="100"/>
      <c r="M35" s="100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</row>
    <row r="36" spans="1:34">
      <c r="A36" s="78">
        <v>34</v>
      </c>
      <c r="B36" s="90"/>
      <c r="C36" s="87"/>
      <c r="D36" s="87"/>
      <c r="E36" s="87"/>
      <c r="F36" s="88" t="s">
        <v>41</v>
      </c>
      <c r="G36" s="89">
        <v>1000</v>
      </c>
      <c r="H36" s="89">
        <v>1600</v>
      </c>
      <c r="I36" s="89">
        <v>0.2</v>
      </c>
      <c r="J36" s="99">
        <f t="shared" si="0"/>
        <v>0.825</v>
      </c>
      <c r="K36" s="99">
        <v>5</v>
      </c>
      <c r="L36" s="95"/>
      <c r="M36" s="100"/>
      <c r="N36" s="100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</row>
    <row r="37" s="73" customFormat="1" spans="1:34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</row>
    <row r="38" s="73" customFormat="1" spans="1:34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</row>
  </sheetData>
  <mergeCells count="18">
    <mergeCell ref="B2:B36"/>
    <mergeCell ref="C2:C29"/>
    <mergeCell ref="C30:C34"/>
    <mergeCell ref="C35:C36"/>
    <mergeCell ref="D2:D7"/>
    <mergeCell ref="D8:D13"/>
    <mergeCell ref="D14:D17"/>
    <mergeCell ref="D18:D23"/>
    <mergeCell ref="D24:D29"/>
    <mergeCell ref="D30:D34"/>
    <mergeCell ref="D35:D36"/>
    <mergeCell ref="E2:E7"/>
    <mergeCell ref="E8:E13"/>
    <mergeCell ref="E14:E17"/>
    <mergeCell ref="E18:E23"/>
    <mergeCell ref="E24:E29"/>
    <mergeCell ref="E30:E34"/>
    <mergeCell ref="E35:E36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O57"/>
  <sheetViews>
    <sheetView tabSelected="1" zoomScale="55" zoomScaleNormal="55" workbookViewId="0">
      <pane ySplit="1" topLeftCell="A6" activePane="bottomLeft" state="frozen"/>
      <selection/>
      <selection pane="bottomLeft" activeCell="BI54" sqref="BI54"/>
    </sheetView>
  </sheetViews>
  <sheetFormatPr defaultColWidth="8.83333333333333" defaultRowHeight="13.2"/>
  <cols>
    <col min="1" max="1" width="14" style="1" customWidth="1"/>
    <col min="2" max="2" width="19.7" style="1" customWidth="1"/>
    <col min="3" max="3" width="9.26666666666667" style="1" customWidth="1"/>
    <col min="4" max="4" width="12.1833333333333" style="46" customWidth="1"/>
    <col min="5" max="5" width="8.55" style="3" customWidth="1"/>
    <col min="6" max="6" width="8.44166666666667" style="3" customWidth="1"/>
    <col min="7" max="7" width="7.21666666666667" style="3" customWidth="1"/>
    <col min="8" max="8" width="9" style="4" customWidth="1"/>
    <col min="9" max="9" width="6.89166666666667" style="3" customWidth="1"/>
    <col min="10" max="10" width="9" style="3" customWidth="1"/>
    <col min="11" max="11" width="9.66666666666667" style="3" customWidth="1"/>
    <col min="12" max="12" width="7.325" style="3" customWidth="1"/>
    <col min="13" max="13" width="9" style="4" customWidth="1"/>
    <col min="14" max="14" width="8.375" style="5" customWidth="1"/>
    <col min="15" max="15" width="8.625" style="3" customWidth="1"/>
    <col min="16" max="16" width="2.30833333333333" style="1" customWidth="1"/>
    <col min="17" max="141" width="2.74166666666667" style="1" customWidth="1"/>
    <col min="142" max="145" width="2.14166666666667" style="1" customWidth="1"/>
    <col min="146" max="16384" width="8.83333333333333" style="1"/>
  </cols>
  <sheetData>
    <row r="1" ht="40" customHeight="1" spans="1:145">
      <c r="A1" s="6" t="s">
        <v>42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44"/>
    </row>
    <row r="2" ht="79.2" spans="1:145">
      <c r="A2" s="7" t="s">
        <v>43</v>
      </c>
      <c r="B2" s="7" t="s">
        <v>44</v>
      </c>
      <c r="C2" s="7" t="s">
        <v>44</v>
      </c>
      <c r="D2" s="8" t="s">
        <v>45</v>
      </c>
      <c r="E2" s="9" t="s">
        <v>46</v>
      </c>
      <c r="F2" s="9" t="s">
        <v>47</v>
      </c>
      <c r="G2" s="9" t="s">
        <v>48</v>
      </c>
      <c r="H2" s="10" t="s">
        <v>49</v>
      </c>
      <c r="I2" s="9" t="s">
        <v>50</v>
      </c>
      <c r="J2" s="9" t="s">
        <v>51</v>
      </c>
      <c r="K2" s="9" t="s">
        <v>52</v>
      </c>
      <c r="L2" s="9" t="s">
        <v>53</v>
      </c>
      <c r="M2" s="28" t="s">
        <v>54</v>
      </c>
      <c r="N2" s="29" t="s">
        <v>55</v>
      </c>
      <c r="O2" s="30" t="s">
        <v>56</v>
      </c>
      <c r="P2" s="31">
        <v>0.1</v>
      </c>
      <c r="Q2" s="31">
        <v>0.2</v>
      </c>
      <c r="R2" s="31">
        <v>0.3</v>
      </c>
      <c r="S2" s="31">
        <v>0.4</v>
      </c>
      <c r="T2" s="31">
        <v>0.5</v>
      </c>
      <c r="U2" s="31">
        <v>0.6</v>
      </c>
      <c r="V2" s="31">
        <v>0.7</v>
      </c>
      <c r="W2" s="31">
        <v>0.8</v>
      </c>
      <c r="X2" s="31">
        <v>0.9</v>
      </c>
      <c r="Y2" s="31">
        <v>1</v>
      </c>
      <c r="Z2" s="31">
        <v>1.1</v>
      </c>
      <c r="AA2" s="31">
        <v>1.2</v>
      </c>
      <c r="AB2" s="31">
        <v>1.3</v>
      </c>
      <c r="AC2" s="31">
        <v>1.4</v>
      </c>
      <c r="AD2" s="31">
        <v>1.5</v>
      </c>
      <c r="AE2" s="31">
        <v>1.6</v>
      </c>
      <c r="AF2" s="31">
        <v>1.7</v>
      </c>
      <c r="AG2" s="31">
        <v>1.8</v>
      </c>
      <c r="AH2" s="31">
        <v>1.9</v>
      </c>
      <c r="AI2" s="31">
        <v>2</v>
      </c>
      <c r="AJ2" s="31">
        <v>2.1</v>
      </c>
      <c r="AK2" s="31">
        <v>2.2</v>
      </c>
      <c r="AL2" s="31">
        <v>2.3</v>
      </c>
      <c r="AM2" s="31">
        <v>2.4</v>
      </c>
      <c r="AN2" s="31">
        <v>2.5</v>
      </c>
      <c r="AO2" s="31">
        <v>2.6</v>
      </c>
      <c r="AP2" s="31">
        <v>2.7</v>
      </c>
      <c r="AQ2" s="31">
        <v>2.8</v>
      </c>
      <c r="AR2" s="31">
        <v>2.9</v>
      </c>
      <c r="AS2" s="31">
        <v>3</v>
      </c>
      <c r="AT2" s="31">
        <v>3.1</v>
      </c>
      <c r="AU2" s="31">
        <v>3.2</v>
      </c>
      <c r="AV2" s="31">
        <v>3.3</v>
      </c>
      <c r="AW2" s="31">
        <v>3.4</v>
      </c>
      <c r="AX2" s="31">
        <v>3.5</v>
      </c>
      <c r="AY2" s="31">
        <v>3.6</v>
      </c>
      <c r="AZ2" s="31">
        <v>3.7</v>
      </c>
      <c r="BA2" s="31">
        <v>3.8</v>
      </c>
      <c r="BB2" s="31">
        <v>3.9</v>
      </c>
      <c r="BC2" s="31">
        <v>4</v>
      </c>
      <c r="BD2" s="31">
        <v>4.1</v>
      </c>
      <c r="BE2" s="31">
        <v>4.2</v>
      </c>
      <c r="BF2" s="31">
        <v>4.3</v>
      </c>
      <c r="BG2" s="31">
        <v>4.4</v>
      </c>
      <c r="BH2" s="31">
        <v>4.5</v>
      </c>
      <c r="BI2" s="31">
        <v>4.6</v>
      </c>
      <c r="BJ2" s="31">
        <v>4.7</v>
      </c>
      <c r="BK2" s="31">
        <v>4.8</v>
      </c>
      <c r="BL2" s="31">
        <v>4.9</v>
      </c>
      <c r="BM2" s="31">
        <v>5</v>
      </c>
      <c r="BN2" s="31">
        <v>5.1</v>
      </c>
      <c r="BO2" s="31">
        <v>5.2</v>
      </c>
      <c r="BP2" s="31">
        <v>5.3</v>
      </c>
      <c r="BQ2" s="31">
        <v>5.4</v>
      </c>
      <c r="BR2" s="31">
        <v>5.49999999999999</v>
      </c>
      <c r="BS2" s="31">
        <v>5.59999999999999</v>
      </c>
      <c r="BT2" s="31">
        <v>5.7</v>
      </c>
      <c r="BU2" s="31">
        <v>5.8</v>
      </c>
      <c r="BV2" s="31">
        <v>5.9</v>
      </c>
      <c r="BW2" s="31">
        <v>6</v>
      </c>
      <c r="BX2" s="31">
        <v>6.10000000000001</v>
      </c>
      <c r="BY2" s="31">
        <v>6.20000000000001</v>
      </c>
      <c r="BZ2" s="31">
        <v>6.30000000000001</v>
      </c>
      <c r="CA2" s="31">
        <v>6.40000000000001</v>
      </c>
      <c r="CB2" s="31">
        <v>6.50000000000001</v>
      </c>
      <c r="CC2" s="31">
        <v>6.60000000000001</v>
      </c>
      <c r="CD2" s="31">
        <v>6.70000000000001</v>
      </c>
      <c r="CE2" s="31">
        <v>6.80000000000001</v>
      </c>
      <c r="CF2" s="31">
        <v>6.90000000000001</v>
      </c>
      <c r="CG2" s="31">
        <v>7.00000000000001</v>
      </c>
      <c r="CH2" s="31">
        <v>7.10000000000001</v>
      </c>
      <c r="CI2" s="31">
        <v>7.2</v>
      </c>
      <c r="CJ2" s="31">
        <v>7.3</v>
      </c>
      <c r="CK2" s="31">
        <v>7.4</v>
      </c>
      <c r="CL2" s="31">
        <v>7.5</v>
      </c>
      <c r="CM2" s="31">
        <v>7.6</v>
      </c>
      <c r="CN2" s="31">
        <v>7.7</v>
      </c>
      <c r="CO2" s="31">
        <v>7.8</v>
      </c>
      <c r="CP2" s="31">
        <v>7.89999999999999</v>
      </c>
      <c r="CQ2" s="31">
        <v>7.99999999999999</v>
      </c>
      <c r="CR2" s="31">
        <v>8.09999999999999</v>
      </c>
      <c r="CS2" s="31">
        <v>8.19999999999999</v>
      </c>
      <c r="CT2" s="31">
        <v>8.29999999999999</v>
      </c>
      <c r="CU2" s="31">
        <v>8.39999999999999</v>
      </c>
      <c r="CV2" s="31">
        <v>8.49999999999999</v>
      </c>
      <c r="CW2" s="31">
        <v>8.59999999999998</v>
      </c>
      <c r="CX2" s="31">
        <v>8.69999999999998</v>
      </c>
      <c r="CY2" s="31">
        <v>8.79999999999998</v>
      </c>
      <c r="CZ2" s="31">
        <v>8.89999999999998</v>
      </c>
      <c r="DA2" s="31">
        <v>8.99999999999998</v>
      </c>
      <c r="DB2" s="31">
        <v>9.09999999999998</v>
      </c>
      <c r="DC2" s="31">
        <v>9.19999999999997</v>
      </c>
      <c r="DD2" s="31">
        <v>9.29999999999997</v>
      </c>
      <c r="DE2" s="31">
        <v>9.39999999999997</v>
      </c>
      <c r="DF2" s="31">
        <v>9.49999999999997</v>
      </c>
      <c r="DG2" s="31">
        <v>9.59999999999997</v>
      </c>
      <c r="DH2" s="31">
        <v>9.69999999999997</v>
      </c>
      <c r="DI2" s="31">
        <v>9.79999999999997</v>
      </c>
      <c r="DJ2" s="31">
        <v>9.89999999999996</v>
      </c>
      <c r="DK2" s="31">
        <v>9.99999999999996</v>
      </c>
      <c r="DL2" s="31">
        <v>10.1</v>
      </c>
      <c r="DM2" s="31">
        <v>10.2</v>
      </c>
      <c r="DN2" s="31">
        <v>10.3</v>
      </c>
      <c r="DO2" s="31">
        <v>10.4</v>
      </c>
      <c r="DP2" s="31">
        <v>10.5</v>
      </c>
      <c r="DQ2" s="31">
        <v>10.6</v>
      </c>
      <c r="DR2" s="31">
        <v>10.7</v>
      </c>
      <c r="DS2" s="31">
        <v>10.8</v>
      </c>
      <c r="DT2" s="31">
        <v>10.8999999999999</v>
      </c>
      <c r="DU2" s="31">
        <v>10.9999999999999</v>
      </c>
      <c r="DV2" s="31">
        <v>11.0999999999999</v>
      </c>
      <c r="DW2" s="31">
        <v>11.1999999999999</v>
      </c>
      <c r="DX2" s="31">
        <v>11.2999999999999</v>
      </c>
      <c r="DY2" s="31">
        <v>11.3999999999999</v>
      </c>
      <c r="DZ2" s="31">
        <v>11.4999999999999</v>
      </c>
      <c r="EA2" s="31">
        <v>11.5999999999999</v>
      </c>
      <c r="EB2" s="31">
        <v>11.6999999999999</v>
      </c>
      <c r="EC2" s="31">
        <v>11.7999999999999</v>
      </c>
      <c r="ED2" s="31">
        <v>11.8999999999999</v>
      </c>
      <c r="EE2" s="31">
        <v>11.9999999999999</v>
      </c>
      <c r="EF2" s="31">
        <v>12.0999999999999</v>
      </c>
      <c r="EG2" s="31">
        <v>12.1999999999999</v>
      </c>
      <c r="EH2" s="31">
        <v>12.2999999999999</v>
      </c>
      <c r="EI2" s="31">
        <v>12.3999999999999</v>
      </c>
      <c r="EJ2" s="31">
        <v>12.4999999999999</v>
      </c>
      <c r="EK2" s="31">
        <v>12.5999999999999</v>
      </c>
      <c r="EL2" s="31">
        <v>12.6999999999999</v>
      </c>
      <c r="EM2" s="31">
        <v>12.7999999999999</v>
      </c>
      <c r="EN2" s="31">
        <v>12.8999999999999</v>
      </c>
      <c r="EO2" s="31">
        <v>12.9999999999999</v>
      </c>
    </row>
    <row r="3" ht="15" customHeight="1" spans="1:145">
      <c r="A3" s="47" t="s">
        <v>57</v>
      </c>
      <c r="B3" s="12" t="s">
        <v>58</v>
      </c>
      <c r="C3" s="13"/>
      <c r="D3" s="48" t="s">
        <v>59</v>
      </c>
      <c r="E3" s="17">
        <v>350</v>
      </c>
      <c r="F3" s="17" t="s">
        <v>60</v>
      </c>
      <c r="G3" s="17">
        <v>250</v>
      </c>
      <c r="H3" s="15">
        <f>E3/G3</f>
        <v>1.4</v>
      </c>
      <c r="I3" s="17">
        <v>0</v>
      </c>
      <c r="J3" s="15">
        <v>0.05</v>
      </c>
      <c r="K3" s="15">
        <v>0.05</v>
      </c>
      <c r="L3" s="15">
        <v>0</v>
      </c>
      <c r="M3" s="15">
        <f t="shared" ref="M3:M10" si="0">SUM(H3:L3)</f>
        <v>1.5</v>
      </c>
      <c r="N3" s="33">
        <f t="shared" ref="N3:N10" si="1">ROUNDUP(M3,1)</f>
        <v>1.5</v>
      </c>
      <c r="O3" s="34">
        <f>N3</f>
        <v>1.5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41"/>
      <c r="CU3" s="41"/>
      <c r="CV3" s="41"/>
      <c r="CW3" s="41"/>
      <c r="CX3" s="41"/>
      <c r="CY3" s="41"/>
      <c r="CZ3" s="41"/>
      <c r="DA3" s="41"/>
      <c r="DB3" s="41"/>
      <c r="DC3" s="36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</row>
    <row r="4" ht="15" customHeight="1" spans="1:145">
      <c r="A4" s="47"/>
      <c r="B4" s="12" t="s">
        <v>61</v>
      </c>
      <c r="C4" s="13"/>
      <c r="D4" s="48" t="s">
        <v>62</v>
      </c>
      <c r="E4" s="17">
        <v>25</v>
      </c>
      <c r="F4" s="17" t="s">
        <v>60</v>
      </c>
      <c r="G4" s="17">
        <v>250</v>
      </c>
      <c r="H4" s="15">
        <f>E4/G4</f>
        <v>0.1</v>
      </c>
      <c r="I4" s="15">
        <v>0</v>
      </c>
      <c r="J4" s="15">
        <v>0.05</v>
      </c>
      <c r="K4" s="15">
        <v>0</v>
      </c>
      <c r="L4" s="15">
        <v>0.07</v>
      </c>
      <c r="M4" s="15">
        <f t="shared" si="0"/>
        <v>0.22</v>
      </c>
      <c r="N4" s="33">
        <f t="shared" si="1"/>
        <v>0.3</v>
      </c>
      <c r="O4" s="59">
        <f>O3+N4</f>
        <v>1.8</v>
      </c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58"/>
      <c r="AF4" s="58"/>
      <c r="AG4" s="58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41"/>
      <c r="CU4" s="41"/>
      <c r="CV4" s="41"/>
      <c r="CW4" s="41"/>
      <c r="CX4" s="41"/>
      <c r="CY4" s="41"/>
      <c r="CZ4" s="41"/>
      <c r="DA4" s="41"/>
      <c r="DB4" s="41"/>
      <c r="DC4" s="36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</row>
    <row r="5" s="45" customFormat="1" ht="15" customHeight="1" spans="1:145">
      <c r="A5" s="49" t="s">
        <v>63</v>
      </c>
      <c r="B5" s="12" t="s">
        <v>64</v>
      </c>
      <c r="C5" s="13"/>
      <c r="D5" s="48" t="s">
        <v>62</v>
      </c>
      <c r="E5" s="17">
        <v>25</v>
      </c>
      <c r="F5" s="17" t="s">
        <v>60</v>
      </c>
      <c r="G5" s="17">
        <v>250</v>
      </c>
      <c r="H5" s="15">
        <f>E5/G5</f>
        <v>0.1</v>
      </c>
      <c r="I5" s="15">
        <v>0</v>
      </c>
      <c r="J5" s="15">
        <v>0.05</v>
      </c>
      <c r="K5" s="15">
        <v>0</v>
      </c>
      <c r="L5" s="15">
        <v>0.07</v>
      </c>
      <c r="M5" s="15">
        <f t="shared" si="0"/>
        <v>0.22</v>
      </c>
      <c r="N5" s="33">
        <f t="shared" si="1"/>
        <v>0.3</v>
      </c>
      <c r="O5" s="34">
        <f>N5</f>
        <v>0.3</v>
      </c>
      <c r="P5" s="60"/>
      <c r="Q5" s="60"/>
      <c r="R5" s="60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</row>
    <row r="6" s="45" customFormat="1" ht="15" customHeight="1" spans="1:145">
      <c r="A6" s="49"/>
      <c r="B6" s="12" t="s">
        <v>65</v>
      </c>
      <c r="C6" s="18"/>
      <c r="D6" s="48" t="s">
        <v>62</v>
      </c>
      <c r="E6" s="14">
        <v>10</v>
      </c>
      <c r="F6" s="14" t="s">
        <v>66</v>
      </c>
      <c r="G6" s="17">
        <v>250</v>
      </c>
      <c r="H6" s="15">
        <v>0.1</v>
      </c>
      <c r="I6" s="15">
        <v>0</v>
      </c>
      <c r="J6" s="15">
        <v>0.05</v>
      </c>
      <c r="K6" s="15">
        <v>0</v>
      </c>
      <c r="L6" s="15">
        <v>0.07</v>
      </c>
      <c r="M6" s="15">
        <f t="shared" si="0"/>
        <v>0.22</v>
      </c>
      <c r="N6" s="33">
        <f t="shared" si="1"/>
        <v>0.3</v>
      </c>
      <c r="O6" s="59">
        <f>O5+N6</f>
        <v>0.6</v>
      </c>
      <c r="P6" s="36"/>
      <c r="Q6" s="36"/>
      <c r="R6" s="36"/>
      <c r="S6" s="60"/>
      <c r="T6" s="60"/>
      <c r="U6" s="60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</row>
    <row r="7" ht="15" customHeight="1" spans="1:145">
      <c r="A7" s="16" t="s">
        <v>67</v>
      </c>
      <c r="B7" s="50" t="s">
        <v>68</v>
      </c>
      <c r="C7" s="51"/>
      <c r="D7" s="48"/>
      <c r="E7" s="14" t="s">
        <v>69</v>
      </c>
      <c r="F7" s="14" t="s">
        <v>69</v>
      </c>
      <c r="G7" s="14" t="s">
        <v>69</v>
      </c>
      <c r="H7" s="14" t="s">
        <v>69</v>
      </c>
      <c r="I7" s="14" t="s">
        <v>69</v>
      </c>
      <c r="J7" s="15">
        <v>0.05</v>
      </c>
      <c r="K7" s="15">
        <v>0</v>
      </c>
      <c r="L7" s="15">
        <v>0</v>
      </c>
      <c r="M7" s="15">
        <f t="shared" si="0"/>
        <v>0.05</v>
      </c>
      <c r="N7" s="33">
        <f t="shared" si="1"/>
        <v>0.1</v>
      </c>
      <c r="O7" s="61">
        <f>N7</f>
        <v>0.1</v>
      </c>
      <c r="P7" s="62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3"/>
      <c r="CL7" s="63"/>
      <c r="CM7" s="63"/>
      <c r="CN7" s="63"/>
      <c r="CO7" s="63"/>
      <c r="CP7" s="63"/>
      <c r="CQ7" s="63"/>
      <c r="CR7" s="63"/>
      <c r="CS7" s="63"/>
      <c r="CT7" s="72"/>
      <c r="CU7" s="72"/>
      <c r="CV7" s="72"/>
      <c r="CW7" s="72"/>
      <c r="CX7" s="72"/>
      <c r="CY7" s="72"/>
      <c r="CZ7" s="72"/>
      <c r="DA7" s="72"/>
      <c r="DB7" s="72"/>
      <c r="DC7" s="63"/>
      <c r="DD7" s="72"/>
      <c r="DE7" s="72"/>
      <c r="DF7" s="72"/>
      <c r="DG7" s="72"/>
      <c r="DH7" s="72"/>
      <c r="DI7" s="72"/>
      <c r="DJ7" s="72"/>
      <c r="DK7" s="72"/>
      <c r="DL7" s="72"/>
      <c r="DM7" s="72"/>
      <c r="DN7" s="72"/>
      <c r="DO7" s="72"/>
      <c r="DP7" s="72"/>
      <c r="DQ7" s="72"/>
      <c r="DR7" s="72"/>
      <c r="DS7" s="72"/>
      <c r="DT7" s="72"/>
      <c r="DU7" s="72"/>
      <c r="DV7" s="72"/>
      <c r="DW7" s="72"/>
      <c r="DX7" s="72"/>
      <c r="DY7" s="72"/>
      <c r="DZ7" s="72"/>
      <c r="EA7" s="72"/>
      <c r="EB7" s="72"/>
      <c r="EC7" s="72"/>
      <c r="ED7" s="72"/>
      <c r="EE7" s="72"/>
      <c r="EF7" s="72"/>
      <c r="EG7" s="72"/>
      <c r="EH7" s="72"/>
      <c r="EI7" s="72"/>
      <c r="EJ7" s="72"/>
      <c r="EK7" s="72"/>
      <c r="EL7" s="72"/>
      <c r="EM7" s="72"/>
      <c r="EN7" s="72"/>
      <c r="EO7" s="72"/>
    </row>
    <row r="8" ht="15" customHeight="1" spans="1:145">
      <c r="A8" s="16"/>
      <c r="B8" s="50" t="s">
        <v>70</v>
      </c>
      <c r="C8" s="51"/>
      <c r="D8" s="48" t="s">
        <v>71</v>
      </c>
      <c r="E8" s="14">
        <v>700</v>
      </c>
      <c r="F8" s="14" t="s">
        <v>72</v>
      </c>
      <c r="G8" s="17">
        <v>1000</v>
      </c>
      <c r="H8" s="15">
        <f>E8/G8</f>
        <v>0.7</v>
      </c>
      <c r="I8" s="15">
        <v>0</v>
      </c>
      <c r="J8" s="15">
        <v>0.05</v>
      </c>
      <c r="K8" s="15">
        <v>0</v>
      </c>
      <c r="L8" s="15">
        <v>0</v>
      </c>
      <c r="M8" s="15">
        <f t="shared" si="0"/>
        <v>0.75</v>
      </c>
      <c r="N8" s="33">
        <f t="shared" si="1"/>
        <v>0.8</v>
      </c>
      <c r="O8" s="61">
        <f>N8</f>
        <v>0.8</v>
      </c>
      <c r="P8" s="63"/>
      <c r="Q8" s="62"/>
      <c r="R8" s="62"/>
      <c r="S8" s="62"/>
      <c r="T8" s="62"/>
      <c r="U8" s="62"/>
      <c r="V8" s="62"/>
      <c r="W8" s="62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3"/>
      <c r="BV8" s="63"/>
      <c r="BW8" s="63"/>
      <c r="BX8" s="63"/>
      <c r="BY8" s="63"/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72"/>
      <c r="CU8" s="72"/>
      <c r="CV8" s="72"/>
      <c r="CW8" s="72"/>
      <c r="CX8" s="72"/>
      <c r="CY8" s="72"/>
      <c r="CZ8" s="72"/>
      <c r="DA8" s="72"/>
      <c r="DB8" s="72"/>
      <c r="DC8" s="63"/>
      <c r="DD8" s="72"/>
      <c r="DE8" s="72"/>
      <c r="DF8" s="72"/>
      <c r="DG8" s="72"/>
      <c r="DH8" s="72"/>
      <c r="DI8" s="72"/>
      <c r="DJ8" s="72"/>
      <c r="DK8" s="72"/>
      <c r="DL8" s="72"/>
      <c r="DM8" s="72"/>
      <c r="DN8" s="72"/>
      <c r="DO8" s="72"/>
      <c r="DP8" s="72"/>
      <c r="DQ8" s="72"/>
      <c r="DR8" s="72"/>
      <c r="DS8" s="72"/>
      <c r="DT8" s="72"/>
      <c r="DU8" s="72"/>
      <c r="DV8" s="72"/>
      <c r="DW8" s="72"/>
      <c r="DX8" s="72"/>
      <c r="DY8" s="72"/>
      <c r="DZ8" s="72"/>
      <c r="EA8" s="72"/>
      <c r="EB8" s="72"/>
      <c r="EC8" s="72"/>
      <c r="ED8" s="72"/>
      <c r="EE8" s="72"/>
      <c r="EF8" s="72"/>
      <c r="EG8" s="72"/>
      <c r="EH8" s="72"/>
      <c r="EI8" s="72"/>
      <c r="EJ8" s="72"/>
      <c r="EK8" s="72"/>
      <c r="EL8" s="72"/>
      <c r="EM8" s="72"/>
      <c r="EN8" s="72"/>
      <c r="EO8" s="72"/>
    </row>
    <row r="9" ht="15" customHeight="1" spans="1:145">
      <c r="A9" s="16"/>
      <c r="B9" s="50" t="s">
        <v>73</v>
      </c>
      <c r="C9" s="51"/>
      <c r="D9" s="48" t="s">
        <v>74</v>
      </c>
      <c r="E9" s="48">
        <v>50</v>
      </c>
      <c r="F9" s="48" t="s">
        <v>72</v>
      </c>
      <c r="G9" s="48">
        <v>250</v>
      </c>
      <c r="H9" s="52">
        <f>E9/G9</f>
        <v>0.2</v>
      </c>
      <c r="I9" s="15">
        <v>0</v>
      </c>
      <c r="J9" s="15">
        <v>0.05</v>
      </c>
      <c r="K9" s="15">
        <v>0</v>
      </c>
      <c r="L9" s="15">
        <v>0</v>
      </c>
      <c r="M9" s="15">
        <f t="shared" si="0"/>
        <v>0.25</v>
      </c>
      <c r="N9" s="33">
        <f t="shared" si="1"/>
        <v>0.3</v>
      </c>
      <c r="O9" s="64">
        <f>O8+N9</f>
        <v>1.1</v>
      </c>
      <c r="P9" s="63"/>
      <c r="Q9" s="63"/>
      <c r="R9" s="63"/>
      <c r="S9" s="63"/>
      <c r="T9" s="63"/>
      <c r="U9" s="63"/>
      <c r="V9" s="63"/>
      <c r="W9" s="63"/>
      <c r="X9" s="62"/>
      <c r="Y9" s="62"/>
      <c r="Z9" s="62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72"/>
      <c r="CU9" s="72"/>
      <c r="CV9" s="72"/>
      <c r="CW9" s="72"/>
      <c r="CX9" s="72"/>
      <c r="CY9" s="72"/>
      <c r="CZ9" s="72"/>
      <c r="DA9" s="72"/>
      <c r="DB9" s="72"/>
      <c r="DC9" s="63"/>
      <c r="DD9" s="72"/>
      <c r="DE9" s="72"/>
      <c r="DF9" s="72"/>
      <c r="DG9" s="72"/>
      <c r="DH9" s="72"/>
      <c r="DI9" s="72"/>
      <c r="DJ9" s="72"/>
      <c r="DK9" s="72"/>
      <c r="DL9" s="72"/>
      <c r="DM9" s="72"/>
      <c r="DN9" s="72"/>
      <c r="DO9" s="72"/>
      <c r="DP9" s="72"/>
      <c r="DQ9" s="72"/>
      <c r="DR9" s="72"/>
      <c r="DS9" s="72"/>
      <c r="DT9" s="72"/>
      <c r="DU9" s="72"/>
      <c r="DV9" s="72"/>
      <c r="DW9" s="72"/>
      <c r="DX9" s="72"/>
      <c r="DY9" s="72"/>
      <c r="DZ9" s="72"/>
      <c r="EA9" s="72"/>
      <c r="EB9" s="72"/>
      <c r="EC9" s="72"/>
      <c r="ED9" s="72"/>
      <c r="EE9" s="72"/>
      <c r="EF9" s="72"/>
      <c r="EG9" s="72"/>
      <c r="EH9" s="72"/>
      <c r="EI9" s="72"/>
      <c r="EJ9" s="72"/>
      <c r="EK9" s="72"/>
      <c r="EL9" s="72"/>
      <c r="EM9" s="72"/>
      <c r="EN9" s="72"/>
      <c r="EO9" s="72"/>
    </row>
    <row r="10" ht="16" customHeight="1" spans="1:145">
      <c r="A10" s="20"/>
      <c r="B10" s="12" t="s">
        <v>75</v>
      </c>
      <c r="C10" s="17"/>
      <c r="D10" s="14" t="s">
        <v>76</v>
      </c>
      <c r="E10" s="17" t="s">
        <v>69</v>
      </c>
      <c r="F10" s="17" t="s">
        <v>69</v>
      </c>
      <c r="G10" s="17" t="s">
        <v>69</v>
      </c>
      <c r="H10" s="15">
        <v>1</v>
      </c>
      <c r="I10" s="15">
        <v>0</v>
      </c>
      <c r="J10" s="15">
        <v>0.05</v>
      </c>
      <c r="K10" s="15">
        <v>0</v>
      </c>
      <c r="L10" s="15">
        <v>0</v>
      </c>
      <c r="M10" s="15">
        <f t="shared" si="0"/>
        <v>1.05</v>
      </c>
      <c r="N10" s="33">
        <f t="shared" si="1"/>
        <v>1.1</v>
      </c>
      <c r="O10" s="65">
        <f>O9+N10</f>
        <v>2.2</v>
      </c>
      <c r="P10" s="36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41"/>
      <c r="CU10" s="41"/>
      <c r="CV10" s="41"/>
      <c r="CW10" s="41"/>
      <c r="CX10" s="41"/>
      <c r="CY10" s="41"/>
      <c r="CZ10" s="41"/>
      <c r="DA10" s="41"/>
      <c r="DB10" s="41"/>
      <c r="DC10" s="36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</row>
    <row r="11" s="42" customFormat="1" ht="15" customHeight="1" spans="1:145">
      <c r="A11" s="53" t="s">
        <v>77</v>
      </c>
      <c r="B11" s="50" t="s">
        <v>78</v>
      </c>
      <c r="C11" s="51"/>
      <c r="D11" s="48"/>
      <c r="E11" s="14" t="s">
        <v>69</v>
      </c>
      <c r="F11" s="14" t="s">
        <v>69</v>
      </c>
      <c r="G11" s="14" t="s">
        <v>69</v>
      </c>
      <c r="H11" s="14" t="s">
        <v>69</v>
      </c>
      <c r="I11" s="14" t="s">
        <v>69</v>
      </c>
      <c r="J11" s="15">
        <v>0.05</v>
      </c>
      <c r="K11" s="15">
        <v>0</v>
      </c>
      <c r="L11" s="15">
        <v>0</v>
      </c>
      <c r="M11" s="15">
        <f t="shared" ref="M11:M24" si="2">SUM(H11:L11)</f>
        <v>0.05</v>
      </c>
      <c r="N11" s="33">
        <f t="shared" ref="N11:N24" si="3">ROUNDUP(M11,1)</f>
        <v>0.1</v>
      </c>
      <c r="O11" s="61">
        <f>N11</f>
        <v>0.1</v>
      </c>
      <c r="P11" s="66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72"/>
      <c r="CU11" s="72"/>
      <c r="CV11" s="72"/>
      <c r="CW11" s="72"/>
      <c r="CX11" s="72"/>
      <c r="CY11" s="72"/>
      <c r="CZ11" s="72"/>
      <c r="DA11" s="72"/>
      <c r="DB11" s="72"/>
      <c r="DC11" s="63"/>
      <c r="DD11" s="72"/>
      <c r="DE11" s="72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DW11" s="72"/>
      <c r="DX11" s="72"/>
      <c r="DY11" s="72"/>
      <c r="DZ11" s="72"/>
      <c r="EA11" s="72"/>
      <c r="EB11" s="72"/>
      <c r="EC11" s="72"/>
      <c r="ED11" s="72"/>
      <c r="EE11" s="72"/>
      <c r="EF11" s="72"/>
      <c r="EG11" s="72"/>
      <c r="EH11" s="72"/>
      <c r="EI11" s="72"/>
      <c r="EJ11" s="72"/>
      <c r="EK11" s="72"/>
      <c r="EL11" s="72"/>
      <c r="EM11" s="72"/>
      <c r="EN11" s="72"/>
      <c r="EO11" s="72"/>
    </row>
    <row r="12" s="42" customFormat="1" ht="20" customHeight="1" spans="1:145">
      <c r="A12" s="53"/>
      <c r="B12" s="50" t="s">
        <v>79</v>
      </c>
      <c r="C12" s="51"/>
      <c r="D12" s="48" t="s">
        <v>71</v>
      </c>
      <c r="E12" s="17">
        <v>250</v>
      </c>
      <c r="F12" s="17" t="s">
        <v>66</v>
      </c>
      <c r="G12" s="17">
        <v>1000</v>
      </c>
      <c r="H12" s="15">
        <f>E12/G12</f>
        <v>0.25</v>
      </c>
      <c r="I12" s="15">
        <v>0</v>
      </c>
      <c r="J12" s="15">
        <v>0.05</v>
      </c>
      <c r="K12" s="15">
        <v>0.05</v>
      </c>
      <c r="L12" s="15">
        <v>0</v>
      </c>
      <c r="M12" s="15">
        <f t="shared" si="2"/>
        <v>0.35</v>
      </c>
      <c r="N12" s="33">
        <f t="shared" si="3"/>
        <v>0.4</v>
      </c>
      <c r="O12" s="61">
        <f>O11+N12</f>
        <v>0.5</v>
      </c>
      <c r="P12" s="63"/>
      <c r="Q12" s="66"/>
      <c r="R12" s="66"/>
      <c r="S12" s="66"/>
      <c r="T12" s="66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72"/>
      <c r="CU12" s="72"/>
      <c r="CV12" s="72"/>
      <c r="CW12" s="72"/>
      <c r="CX12" s="72"/>
      <c r="CY12" s="72"/>
      <c r="CZ12" s="72"/>
      <c r="DA12" s="72"/>
      <c r="DB12" s="72"/>
      <c r="DC12" s="63"/>
      <c r="DD12" s="72"/>
      <c r="DE12" s="72"/>
      <c r="DF12" s="72"/>
      <c r="DG12" s="72"/>
      <c r="DH12" s="72"/>
      <c r="DI12" s="72"/>
      <c r="DJ12" s="72"/>
      <c r="DK12" s="72"/>
      <c r="DL12" s="72"/>
      <c r="DM12" s="72"/>
      <c r="DN12" s="72"/>
      <c r="DO12" s="72"/>
      <c r="DP12" s="72"/>
      <c r="DQ12" s="72"/>
      <c r="DR12" s="72"/>
      <c r="DS12" s="72"/>
      <c r="DT12" s="72"/>
      <c r="DU12" s="72"/>
      <c r="DV12" s="72"/>
      <c r="DW12" s="72"/>
      <c r="DX12" s="72"/>
      <c r="DY12" s="72"/>
      <c r="DZ12" s="72"/>
      <c r="EA12" s="72"/>
      <c r="EB12" s="72"/>
      <c r="EC12" s="72"/>
      <c r="ED12" s="72"/>
      <c r="EE12" s="72"/>
      <c r="EF12" s="72"/>
      <c r="EG12" s="72"/>
      <c r="EH12" s="72"/>
      <c r="EI12" s="72"/>
      <c r="EJ12" s="72"/>
      <c r="EK12" s="72"/>
      <c r="EL12" s="72"/>
      <c r="EM12" s="72"/>
      <c r="EN12" s="72"/>
      <c r="EO12" s="72"/>
    </row>
    <row r="13" s="42" customFormat="1" ht="15" customHeight="1" spans="1:145">
      <c r="A13" s="53"/>
      <c r="B13" s="50" t="s">
        <v>80</v>
      </c>
      <c r="C13" s="51"/>
      <c r="D13" s="48" t="s">
        <v>74</v>
      </c>
      <c r="E13" s="48">
        <v>150</v>
      </c>
      <c r="F13" s="48" t="s">
        <v>60</v>
      </c>
      <c r="G13" s="48">
        <v>250</v>
      </c>
      <c r="H13" s="52">
        <f>E13/G13</f>
        <v>0.6</v>
      </c>
      <c r="I13" s="15">
        <v>0</v>
      </c>
      <c r="J13" s="15">
        <v>0.05</v>
      </c>
      <c r="K13" s="15">
        <v>0</v>
      </c>
      <c r="L13" s="15">
        <v>0</v>
      </c>
      <c r="M13" s="15">
        <f t="shared" si="2"/>
        <v>0.65</v>
      </c>
      <c r="N13" s="33">
        <f t="shared" si="3"/>
        <v>0.7</v>
      </c>
      <c r="O13" s="61">
        <f t="shared" ref="O13:O19" si="4">O12+N13</f>
        <v>1.2</v>
      </c>
      <c r="P13" s="63"/>
      <c r="Q13" s="63"/>
      <c r="R13" s="63"/>
      <c r="S13" s="63"/>
      <c r="T13" s="63"/>
      <c r="U13" s="66"/>
      <c r="V13" s="66"/>
      <c r="W13" s="66"/>
      <c r="X13" s="66"/>
      <c r="Y13" s="66"/>
      <c r="Z13" s="66"/>
      <c r="AA13" s="66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  <c r="CI13" s="63"/>
      <c r="CJ13" s="63"/>
      <c r="CK13" s="63"/>
      <c r="CL13" s="63"/>
      <c r="CM13" s="63"/>
      <c r="CN13" s="63"/>
      <c r="CO13" s="63"/>
      <c r="CP13" s="63"/>
      <c r="CQ13" s="63"/>
      <c r="CR13" s="63"/>
      <c r="CS13" s="63"/>
      <c r="CT13" s="72"/>
      <c r="CU13" s="72"/>
      <c r="CV13" s="72"/>
      <c r="CW13" s="72"/>
      <c r="CX13" s="72"/>
      <c r="CY13" s="72"/>
      <c r="CZ13" s="72"/>
      <c r="DA13" s="72"/>
      <c r="DB13" s="72"/>
      <c r="DC13" s="63"/>
      <c r="DD13" s="72"/>
      <c r="DE13" s="72"/>
      <c r="DF13" s="72"/>
      <c r="DG13" s="72"/>
      <c r="DH13" s="72"/>
      <c r="DI13" s="72"/>
      <c r="DJ13" s="72"/>
      <c r="DK13" s="72"/>
      <c r="DL13" s="72"/>
      <c r="DM13" s="72"/>
      <c r="DN13" s="72"/>
      <c r="DO13" s="72"/>
      <c r="DP13" s="72"/>
      <c r="DQ13" s="72"/>
      <c r="DR13" s="72"/>
      <c r="DS13" s="72"/>
      <c r="DT13" s="72"/>
      <c r="DU13" s="72"/>
      <c r="DV13" s="72"/>
      <c r="DW13" s="72"/>
      <c r="DX13" s="72"/>
      <c r="DY13" s="72"/>
      <c r="DZ13" s="72"/>
      <c r="EA13" s="72"/>
      <c r="EB13" s="72"/>
      <c r="EC13" s="72"/>
      <c r="ED13" s="72"/>
      <c r="EE13" s="72"/>
      <c r="EF13" s="72"/>
      <c r="EG13" s="72"/>
      <c r="EH13" s="72"/>
      <c r="EI13" s="72"/>
      <c r="EJ13" s="72"/>
      <c r="EK13" s="72"/>
      <c r="EL13" s="72"/>
      <c r="EM13" s="72"/>
      <c r="EN13" s="72"/>
      <c r="EO13" s="72"/>
    </row>
    <row r="14" s="42" customFormat="1" ht="15" customHeight="1" spans="1:145">
      <c r="A14" s="53"/>
      <c r="B14" s="12" t="s">
        <v>81</v>
      </c>
      <c r="C14" s="54"/>
      <c r="D14" s="48" t="s">
        <v>82</v>
      </c>
      <c r="E14" s="14" t="s">
        <v>69</v>
      </c>
      <c r="F14" s="14" t="s">
        <v>69</v>
      </c>
      <c r="G14" s="14" t="s">
        <v>69</v>
      </c>
      <c r="H14" s="15">
        <v>0.3</v>
      </c>
      <c r="I14" s="32">
        <v>0</v>
      </c>
      <c r="J14" s="32">
        <v>0.05</v>
      </c>
      <c r="K14" s="32">
        <v>0</v>
      </c>
      <c r="L14" s="32">
        <v>0.07</v>
      </c>
      <c r="M14" s="15">
        <f t="shared" si="2"/>
        <v>0.42</v>
      </c>
      <c r="N14" s="33">
        <f t="shared" si="3"/>
        <v>0.5</v>
      </c>
      <c r="O14" s="61">
        <f t="shared" si="4"/>
        <v>1.7</v>
      </c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6"/>
      <c r="AC14" s="66"/>
      <c r="AD14" s="66"/>
      <c r="AE14" s="66"/>
      <c r="AF14" s="66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72"/>
      <c r="CU14" s="72"/>
      <c r="CV14" s="72"/>
      <c r="CW14" s="72"/>
      <c r="CX14" s="72"/>
      <c r="CY14" s="72"/>
      <c r="CZ14" s="72"/>
      <c r="DA14" s="72"/>
      <c r="DB14" s="72"/>
      <c r="DC14" s="63"/>
      <c r="DD14" s="72"/>
      <c r="DE14" s="72"/>
      <c r="DF14" s="72"/>
      <c r="DG14" s="72"/>
      <c r="DH14" s="72"/>
      <c r="DI14" s="72"/>
      <c r="DJ14" s="72"/>
      <c r="DK14" s="72"/>
      <c r="DL14" s="72"/>
      <c r="DM14" s="72"/>
      <c r="DN14" s="72"/>
      <c r="DO14" s="72"/>
      <c r="DP14" s="72"/>
      <c r="DQ14" s="72"/>
      <c r="DR14" s="72"/>
      <c r="DS14" s="72"/>
      <c r="DT14" s="72"/>
      <c r="DU14" s="72"/>
      <c r="DV14" s="72"/>
      <c r="DW14" s="72"/>
      <c r="DX14" s="72"/>
      <c r="DY14" s="72"/>
      <c r="DZ14" s="72"/>
      <c r="EA14" s="72"/>
      <c r="EB14" s="72"/>
      <c r="EC14" s="72"/>
      <c r="ED14" s="72"/>
      <c r="EE14" s="72"/>
      <c r="EF14" s="72"/>
      <c r="EG14" s="72"/>
      <c r="EH14" s="72"/>
      <c r="EI14" s="72"/>
      <c r="EJ14" s="72"/>
      <c r="EK14" s="72"/>
      <c r="EL14" s="72"/>
      <c r="EM14" s="72"/>
      <c r="EN14" s="72"/>
      <c r="EO14" s="72"/>
    </row>
    <row r="15" s="42" customFormat="1" ht="15" customHeight="1" spans="1:145">
      <c r="A15" s="53"/>
      <c r="B15" s="50" t="s">
        <v>83</v>
      </c>
      <c r="C15" s="51"/>
      <c r="D15" s="48" t="s">
        <v>74</v>
      </c>
      <c r="E15" s="48">
        <v>150</v>
      </c>
      <c r="F15" s="48" t="s">
        <v>60</v>
      </c>
      <c r="G15" s="48">
        <v>250</v>
      </c>
      <c r="H15" s="52">
        <f t="shared" ref="H15:H17" si="5">E15/G15</f>
        <v>0.6</v>
      </c>
      <c r="I15" s="15">
        <v>0</v>
      </c>
      <c r="J15" s="15">
        <v>0.05</v>
      </c>
      <c r="K15" s="15">
        <v>0</v>
      </c>
      <c r="L15" s="15">
        <v>0</v>
      </c>
      <c r="M15" s="15">
        <f t="shared" si="2"/>
        <v>0.65</v>
      </c>
      <c r="N15" s="33">
        <f t="shared" si="3"/>
        <v>0.7</v>
      </c>
      <c r="O15" s="61">
        <f t="shared" si="4"/>
        <v>2.4</v>
      </c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6"/>
      <c r="AH15" s="66"/>
      <c r="AI15" s="66"/>
      <c r="AJ15" s="66"/>
      <c r="AK15" s="66"/>
      <c r="AL15" s="66"/>
      <c r="AM15" s="66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72"/>
      <c r="CU15" s="72"/>
      <c r="CV15" s="72"/>
      <c r="CW15" s="72"/>
      <c r="CX15" s="72"/>
      <c r="CY15" s="72"/>
      <c r="CZ15" s="72"/>
      <c r="DA15" s="72"/>
      <c r="DB15" s="72"/>
      <c r="DC15" s="63"/>
      <c r="DD15" s="72"/>
      <c r="DE15" s="72"/>
      <c r="DF15" s="72"/>
      <c r="DG15" s="72"/>
      <c r="DH15" s="72"/>
      <c r="DI15" s="72"/>
      <c r="DJ15" s="72"/>
      <c r="DK15" s="72"/>
      <c r="DL15" s="72"/>
      <c r="DM15" s="72"/>
      <c r="DN15" s="72"/>
      <c r="DO15" s="72"/>
      <c r="DP15" s="72"/>
      <c r="DQ15" s="72"/>
      <c r="DR15" s="72"/>
      <c r="DS15" s="72"/>
      <c r="DT15" s="72"/>
      <c r="DU15" s="72"/>
      <c r="DV15" s="72"/>
      <c r="DW15" s="72"/>
      <c r="DX15" s="72"/>
      <c r="DY15" s="72"/>
      <c r="DZ15" s="72"/>
      <c r="EA15" s="72"/>
      <c r="EB15" s="72"/>
      <c r="EC15" s="72"/>
      <c r="ED15" s="72"/>
      <c r="EE15" s="72"/>
      <c r="EF15" s="72"/>
      <c r="EG15" s="72"/>
      <c r="EH15" s="72"/>
      <c r="EI15" s="72"/>
      <c r="EJ15" s="72"/>
      <c r="EK15" s="72"/>
      <c r="EL15" s="72"/>
      <c r="EM15" s="72"/>
      <c r="EN15" s="72"/>
      <c r="EO15" s="72"/>
    </row>
    <row r="16" s="42" customFormat="1" ht="15" customHeight="1" spans="1:145">
      <c r="A16" s="53"/>
      <c r="B16" s="50" t="s">
        <v>84</v>
      </c>
      <c r="C16" s="51"/>
      <c r="D16" s="48" t="s">
        <v>71</v>
      </c>
      <c r="E16" s="17">
        <v>250</v>
      </c>
      <c r="F16" s="17" t="s">
        <v>66</v>
      </c>
      <c r="G16" s="17">
        <v>1000</v>
      </c>
      <c r="H16" s="15">
        <f t="shared" si="5"/>
        <v>0.25</v>
      </c>
      <c r="I16" s="15">
        <v>0</v>
      </c>
      <c r="J16" s="15">
        <v>0.05</v>
      </c>
      <c r="K16" s="15">
        <v>0.05</v>
      </c>
      <c r="L16" s="15">
        <v>0</v>
      </c>
      <c r="M16" s="15">
        <f t="shared" si="2"/>
        <v>0.35</v>
      </c>
      <c r="N16" s="33">
        <f t="shared" si="3"/>
        <v>0.4</v>
      </c>
      <c r="O16" s="61">
        <f t="shared" si="4"/>
        <v>2.8</v>
      </c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6"/>
      <c r="AO16" s="66"/>
      <c r="AP16" s="66"/>
      <c r="AQ16" s="66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72"/>
      <c r="CU16" s="72"/>
      <c r="CV16" s="72"/>
      <c r="CW16" s="72"/>
      <c r="CX16" s="72"/>
      <c r="CY16" s="72"/>
      <c r="CZ16" s="72"/>
      <c r="DA16" s="72"/>
      <c r="DB16" s="72"/>
      <c r="DC16" s="63"/>
      <c r="DD16" s="72"/>
      <c r="DE16" s="72"/>
      <c r="DF16" s="72"/>
      <c r="DG16" s="72"/>
      <c r="DH16" s="72"/>
      <c r="DI16" s="72"/>
      <c r="DJ16" s="72"/>
      <c r="DK16" s="72"/>
      <c r="DL16" s="72"/>
      <c r="DM16" s="72"/>
      <c r="DN16" s="72"/>
      <c r="DO16" s="72"/>
      <c r="DP16" s="72"/>
      <c r="DQ16" s="72"/>
      <c r="DR16" s="72"/>
      <c r="DS16" s="72"/>
      <c r="DT16" s="72"/>
      <c r="DU16" s="72"/>
      <c r="DV16" s="72"/>
      <c r="DW16" s="72"/>
      <c r="DX16" s="72"/>
      <c r="DY16" s="72"/>
      <c r="DZ16" s="72"/>
      <c r="EA16" s="72"/>
      <c r="EB16" s="72"/>
      <c r="EC16" s="72"/>
      <c r="ED16" s="72"/>
      <c r="EE16" s="72"/>
      <c r="EF16" s="72"/>
      <c r="EG16" s="72"/>
      <c r="EH16" s="72"/>
      <c r="EI16" s="72"/>
      <c r="EJ16" s="72"/>
      <c r="EK16" s="72"/>
      <c r="EL16" s="72"/>
      <c r="EM16" s="72"/>
      <c r="EN16" s="72"/>
      <c r="EO16" s="72"/>
    </row>
    <row r="17" s="42" customFormat="1" ht="15" customHeight="1" spans="1:145">
      <c r="A17" s="53"/>
      <c r="B17" s="50" t="s">
        <v>80</v>
      </c>
      <c r="C17" s="51"/>
      <c r="D17" s="48" t="s">
        <v>74</v>
      </c>
      <c r="E17" s="48">
        <v>200</v>
      </c>
      <c r="F17" s="48" t="s">
        <v>60</v>
      </c>
      <c r="G17" s="48">
        <v>250</v>
      </c>
      <c r="H17" s="52">
        <f t="shared" si="5"/>
        <v>0.8</v>
      </c>
      <c r="I17" s="15">
        <v>0</v>
      </c>
      <c r="J17" s="15">
        <v>0.05</v>
      </c>
      <c r="K17" s="15">
        <v>0</v>
      </c>
      <c r="L17" s="15">
        <v>0</v>
      </c>
      <c r="M17" s="15">
        <f t="shared" si="2"/>
        <v>0.85</v>
      </c>
      <c r="N17" s="33">
        <f t="shared" si="3"/>
        <v>0.9</v>
      </c>
      <c r="O17" s="61">
        <f t="shared" si="4"/>
        <v>3.7</v>
      </c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6"/>
      <c r="AS17" s="66"/>
      <c r="AT17" s="66"/>
      <c r="AU17" s="66"/>
      <c r="AV17" s="66"/>
      <c r="AW17" s="66"/>
      <c r="AX17" s="66"/>
      <c r="AY17" s="66"/>
      <c r="AZ17" s="66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72"/>
      <c r="CU17" s="72"/>
      <c r="CV17" s="72"/>
      <c r="CW17" s="72"/>
      <c r="CX17" s="72"/>
      <c r="CY17" s="72"/>
      <c r="CZ17" s="72"/>
      <c r="DA17" s="72"/>
      <c r="DB17" s="72"/>
      <c r="DC17" s="63"/>
      <c r="DD17" s="72"/>
      <c r="DE17" s="72"/>
      <c r="DF17" s="72"/>
      <c r="DG17" s="72"/>
      <c r="DH17" s="72"/>
      <c r="DI17" s="72"/>
      <c r="DJ17" s="72"/>
      <c r="DK17" s="72"/>
      <c r="DL17" s="72"/>
      <c r="DM17" s="72"/>
      <c r="DN17" s="72"/>
      <c r="DO17" s="72"/>
      <c r="DP17" s="72"/>
      <c r="DQ17" s="72"/>
      <c r="DR17" s="72"/>
      <c r="DS17" s="72"/>
      <c r="DT17" s="72"/>
      <c r="DU17" s="72"/>
      <c r="DV17" s="72"/>
      <c r="DW17" s="72"/>
      <c r="DX17" s="72"/>
      <c r="DY17" s="72"/>
      <c r="DZ17" s="72"/>
      <c r="EA17" s="72"/>
      <c r="EB17" s="72"/>
      <c r="EC17" s="72"/>
      <c r="ED17" s="72"/>
      <c r="EE17" s="72"/>
      <c r="EF17" s="72"/>
      <c r="EG17" s="72"/>
      <c r="EH17" s="72"/>
      <c r="EI17" s="72"/>
      <c r="EJ17" s="72"/>
      <c r="EK17" s="72"/>
      <c r="EL17" s="72"/>
      <c r="EM17" s="72"/>
      <c r="EN17" s="72"/>
      <c r="EO17" s="72"/>
    </row>
    <row r="18" s="42" customFormat="1" ht="15" customHeight="1" spans="1:145">
      <c r="A18" s="53"/>
      <c r="B18" s="12" t="s">
        <v>85</v>
      </c>
      <c r="C18" s="13"/>
      <c r="D18" s="48" t="s">
        <v>82</v>
      </c>
      <c r="E18" s="14" t="s">
        <v>69</v>
      </c>
      <c r="F18" s="14" t="s">
        <v>69</v>
      </c>
      <c r="G18" s="14" t="s">
        <v>69</v>
      </c>
      <c r="H18" s="15">
        <v>0.8</v>
      </c>
      <c r="I18" s="32">
        <v>0</v>
      </c>
      <c r="J18" s="32">
        <v>0.05</v>
      </c>
      <c r="K18" s="32">
        <v>0</v>
      </c>
      <c r="L18" s="32">
        <v>0.07</v>
      </c>
      <c r="M18" s="15">
        <f t="shared" si="2"/>
        <v>0.92</v>
      </c>
      <c r="N18" s="33">
        <f t="shared" si="3"/>
        <v>1</v>
      </c>
      <c r="O18" s="61">
        <f t="shared" si="4"/>
        <v>4.7</v>
      </c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72"/>
      <c r="CU18" s="72"/>
      <c r="CV18" s="72"/>
      <c r="CW18" s="72"/>
      <c r="CX18" s="72"/>
      <c r="CY18" s="72"/>
      <c r="CZ18" s="72"/>
      <c r="DA18" s="72"/>
      <c r="DB18" s="72"/>
      <c r="DC18" s="63"/>
      <c r="DD18" s="72"/>
      <c r="DE18" s="72"/>
      <c r="DF18" s="72"/>
      <c r="DG18" s="72"/>
      <c r="DH18" s="72"/>
      <c r="DI18" s="72"/>
      <c r="DJ18" s="72"/>
      <c r="DK18" s="72"/>
      <c r="DL18" s="72"/>
      <c r="DM18" s="72"/>
      <c r="DN18" s="72"/>
      <c r="DO18" s="72"/>
      <c r="DP18" s="72"/>
      <c r="DQ18" s="72"/>
      <c r="DR18" s="72"/>
      <c r="DS18" s="72"/>
      <c r="DT18" s="72"/>
      <c r="DU18" s="72"/>
      <c r="DV18" s="72"/>
      <c r="DW18" s="72"/>
      <c r="DX18" s="72"/>
      <c r="DY18" s="72"/>
      <c r="DZ18" s="72"/>
      <c r="EA18" s="72"/>
      <c r="EB18" s="72"/>
      <c r="EC18" s="72"/>
      <c r="ED18" s="72"/>
      <c r="EE18" s="72"/>
      <c r="EF18" s="72"/>
      <c r="EG18" s="72"/>
      <c r="EH18" s="72"/>
      <c r="EI18" s="72"/>
      <c r="EJ18" s="72"/>
      <c r="EK18" s="72"/>
      <c r="EL18" s="72"/>
      <c r="EM18" s="72"/>
      <c r="EN18" s="72"/>
      <c r="EO18" s="72"/>
    </row>
    <row r="19" s="42" customFormat="1" ht="15" customHeight="1" spans="1:145">
      <c r="A19" s="55"/>
      <c r="B19" s="50" t="s">
        <v>83</v>
      </c>
      <c r="C19" s="51"/>
      <c r="D19" s="48" t="s">
        <v>74</v>
      </c>
      <c r="E19" s="48">
        <v>200</v>
      </c>
      <c r="F19" s="48" t="s">
        <v>60</v>
      </c>
      <c r="G19" s="48">
        <v>250</v>
      </c>
      <c r="H19" s="52">
        <f t="shared" ref="H19:H23" si="6">E19/G19</f>
        <v>0.8</v>
      </c>
      <c r="I19" s="15">
        <v>0</v>
      </c>
      <c r="J19" s="15">
        <v>0.05</v>
      </c>
      <c r="K19" s="15">
        <v>0</v>
      </c>
      <c r="L19" s="15">
        <v>0</v>
      </c>
      <c r="M19" s="15">
        <f t="shared" si="2"/>
        <v>0.85</v>
      </c>
      <c r="N19" s="33">
        <f t="shared" si="3"/>
        <v>0.9</v>
      </c>
      <c r="O19" s="67">
        <f t="shared" si="4"/>
        <v>5.6</v>
      </c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6"/>
      <c r="BL19" s="66"/>
      <c r="BM19" s="66"/>
      <c r="BN19" s="66"/>
      <c r="BO19" s="66"/>
      <c r="BP19" s="66"/>
      <c r="BQ19" s="66"/>
      <c r="BR19" s="66"/>
      <c r="BS19" s="66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72"/>
      <c r="CU19" s="72"/>
      <c r="CV19" s="72"/>
      <c r="CW19" s="72"/>
      <c r="CX19" s="72"/>
      <c r="CY19" s="72"/>
      <c r="CZ19" s="72"/>
      <c r="DA19" s="72"/>
      <c r="DB19" s="72"/>
      <c r="DC19" s="63"/>
      <c r="DD19" s="72"/>
      <c r="DE19" s="72"/>
      <c r="DF19" s="72"/>
      <c r="DG19" s="72"/>
      <c r="DH19" s="72"/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2"/>
      <c r="DX19" s="72"/>
      <c r="DY19" s="72"/>
      <c r="DZ19" s="72"/>
      <c r="EA19" s="72"/>
      <c r="EB19" s="72"/>
      <c r="EC19" s="72"/>
      <c r="ED19" s="72"/>
      <c r="EE19" s="72"/>
      <c r="EF19" s="72"/>
      <c r="EG19" s="72"/>
      <c r="EH19" s="72"/>
      <c r="EI19" s="72"/>
      <c r="EJ19" s="72"/>
      <c r="EK19" s="72"/>
      <c r="EL19" s="72"/>
      <c r="EM19" s="72"/>
      <c r="EN19" s="72"/>
      <c r="EO19" s="72"/>
    </row>
    <row r="20" ht="15" customHeight="1" spans="1:145">
      <c r="A20" s="16" t="s">
        <v>86</v>
      </c>
      <c r="B20" s="50" t="s">
        <v>87</v>
      </c>
      <c r="C20" s="51"/>
      <c r="D20" s="48"/>
      <c r="E20" s="14" t="s">
        <v>69</v>
      </c>
      <c r="F20" s="14" t="s">
        <v>69</v>
      </c>
      <c r="G20" s="14" t="s">
        <v>69</v>
      </c>
      <c r="H20" s="14" t="s">
        <v>69</v>
      </c>
      <c r="I20" s="14" t="s">
        <v>69</v>
      </c>
      <c r="J20" s="15">
        <v>0.05</v>
      </c>
      <c r="K20" s="15">
        <v>0</v>
      </c>
      <c r="L20" s="15">
        <v>0</v>
      </c>
      <c r="M20" s="15">
        <f t="shared" si="2"/>
        <v>0.05</v>
      </c>
      <c r="N20" s="33">
        <f t="shared" si="3"/>
        <v>0.1</v>
      </c>
      <c r="O20" s="61">
        <f>N20</f>
        <v>0.1</v>
      </c>
      <c r="P20" s="68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  <c r="CF20" s="63"/>
      <c r="CG20" s="63"/>
      <c r="CH20" s="63"/>
      <c r="CI20" s="63"/>
      <c r="CJ20" s="63"/>
      <c r="CK20" s="63"/>
      <c r="CL20" s="63"/>
      <c r="CM20" s="63"/>
      <c r="CN20" s="63"/>
      <c r="CO20" s="63"/>
      <c r="CP20" s="63"/>
      <c r="CQ20" s="63"/>
      <c r="CR20" s="63"/>
      <c r="CS20" s="63"/>
      <c r="CT20" s="72"/>
      <c r="CU20" s="72"/>
      <c r="CV20" s="72"/>
      <c r="CW20" s="72"/>
      <c r="CX20" s="72"/>
      <c r="CY20" s="72"/>
      <c r="CZ20" s="72"/>
      <c r="DA20" s="72"/>
      <c r="DB20" s="72"/>
      <c r="DC20" s="63"/>
      <c r="DD20" s="72"/>
      <c r="DE20" s="72"/>
      <c r="DF20" s="72"/>
      <c r="DG20" s="72"/>
      <c r="DH20" s="72"/>
      <c r="DI20" s="72"/>
      <c r="DJ20" s="72"/>
      <c r="DK20" s="72"/>
      <c r="DL20" s="72"/>
      <c r="DM20" s="72"/>
      <c r="DN20" s="72"/>
      <c r="DO20" s="72"/>
      <c r="DP20" s="72"/>
      <c r="DQ20" s="72"/>
      <c r="DR20" s="72"/>
      <c r="DS20" s="72"/>
      <c r="DT20" s="72"/>
      <c r="DU20" s="72"/>
      <c r="DV20" s="72"/>
      <c r="DW20" s="72"/>
      <c r="DX20" s="72"/>
      <c r="DY20" s="72"/>
      <c r="DZ20" s="72"/>
      <c r="EA20" s="72"/>
      <c r="EB20" s="72"/>
      <c r="EC20" s="72"/>
      <c r="ED20" s="72"/>
      <c r="EE20" s="72"/>
      <c r="EF20" s="72"/>
      <c r="EG20" s="72"/>
      <c r="EH20" s="72"/>
      <c r="EI20" s="72"/>
      <c r="EJ20" s="72"/>
      <c r="EK20" s="72"/>
      <c r="EL20" s="72"/>
      <c r="EM20" s="72"/>
      <c r="EN20" s="72"/>
      <c r="EO20" s="72"/>
    </row>
    <row r="21" ht="15" customHeight="1" spans="1:145">
      <c r="A21" s="16"/>
      <c r="B21" s="12" t="s">
        <v>88</v>
      </c>
      <c r="C21" s="13"/>
      <c r="D21" s="48" t="s">
        <v>62</v>
      </c>
      <c r="E21" s="14">
        <v>5</v>
      </c>
      <c r="F21" s="14" t="s">
        <v>89</v>
      </c>
      <c r="G21" s="14">
        <v>250</v>
      </c>
      <c r="H21" s="15">
        <f t="shared" si="6"/>
        <v>0.02</v>
      </c>
      <c r="I21" s="15">
        <v>0</v>
      </c>
      <c r="J21" s="15">
        <v>0.05</v>
      </c>
      <c r="K21" s="15">
        <v>0</v>
      </c>
      <c r="L21" s="32">
        <v>0.07</v>
      </c>
      <c r="M21" s="15">
        <f t="shared" si="2"/>
        <v>0.14</v>
      </c>
      <c r="N21" s="33">
        <f t="shared" si="3"/>
        <v>0.2</v>
      </c>
      <c r="O21" s="34">
        <f>O20+N21</f>
        <v>0.3</v>
      </c>
      <c r="P21" s="63"/>
      <c r="Q21" s="68"/>
      <c r="R21" s="68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72"/>
      <c r="CU21" s="72"/>
      <c r="CV21" s="72"/>
      <c r="CW21" s="72"/>
      <c r="CX21" s="72"/>
      <c r="CY21" s="72"/>
      <c r="CZ21" s="72"/>
      <c r="DA21" s="72"/>
      <c r="DB21" s="72"/>
      <c r="DC21" s="63"/>
      <c r="DD21" s="72"/>
      <c r="DE21" s="72"/>
      <c r="DF21" s="72"/>
      <c r="DG21" s="72"/>
      <c r="DH21" s="72"/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/>
      <c r="DV21" s="72"/>
      <c r="DW21" s="72"/>
      <c r="DX21" s="72"/>
      <c r="DY21" s="72"/>
      <c r="DZ21" s="72"/>
      <c r="EA21" s="72"/>
      <c r="EB21" s="72"/>
      <c r="EC21" s="72"/>
      <c r="ED21" s="72"/>
      <c r="EE21" s="72"/>
      <c r="EF21" s="72"/>
      <c r="EG21" s="72"/>
      <c r="EH21" s="72"/>
      <c r="EI21" s="72"/>
      <c r="EJ21" s="72"/>
      <c r="EK21" s="72"/>
      <c r="EL21" s="72"/>
      <c r="EM21" s="72"/>
      <c r="EN21" s="72"/>
      <c r="EO21" s="72"/>
    </row>
    <row r="22" ht="15" customHeight="1" spans="1:145">
      <c r="A22" s="16"/>
      <c r="B22" s="12" t="s">
        <v>90</v>
      </c>
      <c r="C22" s="13"/>
      <c r="D22" s="48" t="s">
        <v>74</v>
      </c>
      <c r="E22" s="14">
        <v>3.5</v>
      </c>
      <c r="F22" s="14" t="s">
        <v>66</v>
      </c>
      <c r="G22" s="14">
        <v>250</v>
      </c>
      <c r="H22" s="15">
        <f t="shared" si="6"/>
        <v>0.014</v>
      </c>
      <c r="I22" s="15">
        <v>0</v>
      </c>
      <c r="J22" s="15">
        <v>0.05</v>
      </c>
      <c r="K22" s="15">
        <v>0.05</v>
      </c>
      <c r="L22" s="15">
        <v>0</v>
      </c>
      <c r="M22" s="15">
        <f t="shared" si="2"/>
        <v>0.114</v>
      </c>
      <c r="N22" s="33">
        <f t="shared" si="3"/>
        <v>0.2</v>
      </c>
      <c r="O22" s="34">
        <f>O21+N22</f>
        <v>0.5</v>
      </c>
      <c r="P22" s="63"/>
      <c r="Q22" s="63"/>
      <c r="R22" s="63"/>
      <c r="S22" s="68"/>
      <c r="T22" s="68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72"/>
      <c r="CU22" s="72"/>
      <c r="CV22" s="72"/>
      <c r="CW22" s="72"/>
      <c r="CX22" s="72"/>
      <c r="CY22" s="72"/>
      <c r="CZ22" s="72"/>
      <c r="DA22" s="72"/>
      <c r="DB22" s="72"/>
      <c r="DC22" s="63"/>
      <c r="DD22" s="72"/>
      <c r="DE22" s="72"/>
      <c r="DF22" s="72"/>
      <c r="DG22" s="72"/>
      <c r="DH22" s="72"/>
      <c r="DI22" s="72"/>
      <c r="DJ22" s="72"/>
      <c r="DK22" s="72"/>
      <c r="DL22" s="72"/>
      <c r="DM22" s="72"/>
      <c r="DN22" s="72"/>
      <c r="DO22" s="72"/>
      <c r="DP22" s="72"/>
      <c r="DQ22" s="72"/>
      <c r="DR22" s="72"/>
      <c r="DS22" s="72"/>
      <c r="DT22" s="72"/>
      <c r="DU22" s="72"/>
      <c r="DV22" s="72"/>
      <c r="DW22" s="72"/>
      <c r="DX22" s="72"/>
      <c r="DY22" s="72"/>
      <c r="DZ22" s="72"/>
      <c r="EA22" s="72"/>
      <c r="EB22" s="72"/>
      <c r="EC22" s="72"/>
      <c r="ED22" s="72"/>
      <c r="EE22" s="72"/>
      <c r="EF22" s="72"/>
      <c r="EG22" s="72"/>
      <c r="EH22" s="72"/>
      <c r="EI22" s="72"/>
      <c r="EJ22" s="72"/>
      <c r="EK22" s="72"/>
      <c r="EL22" s="72"/>
      <c r="EM22" s="72"/>
      <c r="EN22" s="72"/>
      <c r="EO22" s="72"/>
    </row>
    <row r="23" ht="15" customHeight="1" spans="1:145">
      <c r="A23" s="16"/>
      <c r="B23" s="12" t="s">
        <v>91</v>
      </c>
      <c r="C23" s="13"/>
      <c r="D23" s="48" t="s">
        <v>74</v>
      </c>
      <c r="E23" s="14">
        <v>100</v>
      </c>
      <c r="F23" s="14" t="s">
        <v>72</v>
      </c>
      <c r="G23" s="14">
        <v>250</v>
      </c>
      <c r="H23" s="15">
        <f t="shared" si="6"/>
        <v>0.4</v>
      </c>
      <c r="I23" s="32"/>
      <c r="J23" s="15">
        <v>0.05</v>
      </c>
      <c r="K23" s="15">
        <v>0.05</v>
      </c>
      <c r="L23" s="15">
        <v>0</v>
      </c>
      <c r="M23" s="15">
        <f t="shared" si="2"/>
        <v>0.5</v>
      </c>
      <c r="N23" s="33">
        <f t="shared" si="3"/>
        <v>0.5</v>
      </c>
      <c r="O23" s="34">
        <f>O22+N23</f>
        <v>1</v>
      </c>
      <c r="P23" s="63"/>
      <c r="Q23" s="63"/>
      <c r="R23" s="63"/>
      <c r="S23" s="63"/>
      <c r="T23" s="63"/>
      <c r="U23" s="68"/>
      <c r="V23" s="68"/>
      <c r="W23" s="68"/>
      <c r="X23" s="68"/>
      <c r="Y23" s="68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  <c r="CI23" s="63"/>
      <c r="CJ23" s="63"/>
      <c r="CK23" s="63"/>
      <c r="CL23" s="63"/>
      <c r="CM23" s="63"/>
      <c r="CN23" s="63"/>
      <c r="CO23" s="63"/>
      <c r="CP23" s="63"/>
      <c r="CQ23" s="63"/>
      <c r="CR23" s="63"/>
      <c r="CS23" s="63"/>
      <c r="CT23" s="72"/>
      <c r="CU23" s="72"/>
      <c r="CV23" s="72"/>
      <c r="CW23" s="72"/>
      <c r="CX23" s="72"/>
      <c r="CY23" s="72"/>
      <c r="CZ23" s="72"/>
      <c r="DA23" s="72"/>
      <c r="DB23" s="72"/>
      <c r="DC23" s="63"/>
      <c r="DD23" s="72"/>
      <c r="DE23" s="72"/>
      <c r="DF23" s="72"/>
      <c r="DG23" s="72"/>
      <c r="DH23" s="72"/>
      <c r="DI23" s="72"/>
      <c r="DJ23" s="72"/>
      <c r="DK23" s="72"/>
      <c r="DL23" s="72"/>
      <c r="DM23" s="72"/>
      <c r="DN23" s="72"/>
      <c r="DO23" s="72"/>
      <c r="DP23" s="72"/>
      <c r="DQ23" s="72"/>
      <c r="DR23" s="72"/>
      <c r="DS23" s="72"/>
      <c r="DT23" s="72"/>
      <c r="DU23" s="72"/>
      <c r="DV23" s="72"/>
      <c r="DW23" s="72"/>
      <c r="DX23" s="72"/>
      <c r="DY23" s="72"/>
      <c r="DZ23" s="72"/>
      <c r="EA23" s="72"/>
      <c r="EB23" s="72"/>
      <c r="EC23" s="72"/>
      <c r="ED23" s="72"/>
      <c r="EE23" s="72"/>
      <c r="EF23" s="72"/>
      <c r="EG23" s="72"/>
      <c r="EH23" s="72"/>
      <c r="EI23" s="72"/>
      <c r="EJ23" s="72"/>
      <c r="EK23" s="72"/>
      <c r="EL23" s="72"/>
      <c r="EM23" s="72"/>
      <c r="EN23" s="72"/>
      <c r="EO23" s="72"/>
    </row>
    <row r="24" ht="15" customHeight="1" spans="1:145">
      <c r="A24" s="16"/>
      <c r="B24" s="12" t="s">
        <v>92</v>
      </c>
      <c r="C24" s="13"/>
      <c r="D24" s="48" t="s">
        <v>93</v>
      </c>
      <c r="E24" s="17">
        <v>1</v>
      </c>
      <c r="F24" s="17" t="s">
        <v>69</v>
      </c>
      <c r="G24" s="17" t="s">
        <v>69</v>
      </c>
      <c r="H24" s="15">
        <v>0.2</v>
      </c>
      <c r="I24" s="17">
        <v>0</v>
      </c>
      <c r="J24" s="15">
        <v>0.05</v>
      </c>
      <c r="K24" s="15">
        <v>0</v>
      </c>
      <c r="L24" s="15">
        <v>0</v>
      </c>
      <c r="M24" s="15">
        <v>0.25</v>
      </c>
      <c r="N24" s="33">
        <v>0.3</v>
      </c>
      <c r="O24" s="34">
        <f>O23+N24</f>
        <v>1.3</v>
      </c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8"/>
      <c r="AA24" s="68"/>
      <c r="AB24" s="68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72"/>
      <c r="CU24" s="72"/>
      <c r="CV24" s="72"/>
      <c r="CW24" s="72"/>
      <c r="CX24" s="72"/>
      <c r="CY24" s="72"/>
      <c r="CZ24" s="72"/>
      <c r="DA24" s="72"/>
      <c r="DB24" s="72"/>
      <c r="DC24" s="63"/>
      <c r="DD24" s="72"/>
      <c r="DE24" s="72"/>
      <c r="DF24" s="72"/>
      <c r="DG24" s="72"/>
      <c r="DH24" s="72"/>
      <c r="DI24" s="72"/>
      <c r="DJ24" s="72"/>
      <c r="DK24" s="72"/>
      <c r="DL24" s="72"/>
      <c r="DM24" s="72"/>
      <c r="DN24" s="72"/>
      <c r="DO24" s="72"/>
      <c r="DP24" s="72"/>
      <c r="DQ24" s="72"/>
      <c r="DR24" s="72"/>
      <c r="DS24" s="72"/>
      <c r="DT24" s="72"/>
      <c r="DU24" s="72"/>
      <c r="DV24" s="72"/>
      <c r="DW24" s="72"/>
      <c r="DX24" s="72"/>
      <c r="DY24" s="72"/>
      <c r="DZ24" s="72"/>
      <c r="EA24" s="72"/>
      <c r="EB24" s="72"/>
      <c r="EC24" s="72"/>
      <c r="ED24" s="72"/>
      <c r="EE24" s="72"/>
      <c r="EF24" s="72"/>
      <c r="EG24" s="72"/>
      <c r="EH24" s="72"/>
      <c r="EI24" s="72"/>
      <c r="EJ24" s="72"/>
      <c r="EK24" s="72"/>
      <c r="EL24" s="72"/>
      <c r="EM24" s="72"/>
      <c r="EN24" s="72"/>
      <c r="EO24" s="72"/>
    </row>
    <row r="25" ht="15" customHeight="1" spans="1:145">
      <c r="A25" s="16"/>
      <c r="B25" s="12" t="s">
        <v>94</v>
      </c>
      <c r="C25" s="13"/>
      <c r="D25" s="48" t="s">
        <v>74</v>
      </c>
      <c r="E25" s="14">
        <v>500</v>
      </c>
      <c r="F25" s="14" t="s">
        <v>72</v>
      </c>
      <c r="G25" s="14">
        <v>250</v>
      </c>
      <c r="H25" s="15">
        <f>E25/G25</f>
        <v>2</v>
      </c>
      <c r="I25" s="32"/>
      <c r="J25" s="15">
        <v>0.05</v>
      </c>
      <c r="K25" s="15">
        <v>0.05</v>
      </c>
      <c r="L25" s="15">
        <v>0</v>
      </c>
      <c r="M25" s="15">
        <f>SUM(H25:L25)</f>
        <v>2.1</v>
      </c>
      <c r="N25" s="33">
        <f>ROUNDUP(M25,1)</f>
        <v>2.1</v>
      </c>
      <c r="O25" s="59">
        <f>O24+N25</f>
        <v>3.4</v>
      </c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72"/>
      <c r="CU25" s="72"/>
      <c r="CV25" s="72"/>
      <c r="CW25" s="72"/>
      <c r="CX25" s="72"/>
      <c r="CY25" s="72"/>
      <c r="CZ25" s="72"/>
      <c r="DA25" s="72"/>
      <c r="DB25" s="72"/>
      <c r="DC25" s="63"/>
      <c r="DD25" s="72"/>
      <c r="DE25" s="72"/>
      <c r="DF25" s="72"/>
      <c r="DG25" s="72"/>
      <c r="DH25" s="72"/>
      <c r="DI25" s="72"/>
      <c r="DJ25" s="72"/>
      <c r="DK25" s="72"/>
      <c r="DL25" s="72"/>
      <c r="DM25" s="72"/>
      <c r="DN25" s="72"/>
      <c r="DO25" s="72"/>
      <c r="DP25" s="72"/>
      <c r="DQ25" s="72"/>
      <c r="DR25" s="72"/>
      <c r="DS25" s="72"/>
      <c r="DT25" s="72"/>
      <c r="DU25" s="72"/>
      <c r="DV25" s="72"/>
      <c r="DW25" s="72"/>
      <c r="DX25" s="72"/>
      <c r="DY25" s="72"/>
      <c r="DZ25" s="72"/>
      <c r="EA25" s="72"/>
      <c r="EB25" s="72"/>
      <c r="EC25" s="72"/>
      <c r="ED25" s="72"/>
      <c r="EE25" s="72"/>
      <c r="EF25" s="72"/>
      <c r="EG25" s="72"/>
      <c r="EH25" s="72"/>
      <c r="EI25" s="72"/>
      <c r="EJ25" s="72"/>
      <c r="EK25" s="72"/>
      <c r="EL25" s="72"/>
      <c r="EM25" s="72"/>
      <c r="EN25" s="72"/>
      <c r="EO25" s="72"/>
    </row>
    <row r="26" s="42" customFormat="1" ht="15" customHeight="1" spans="1:145">
      <c r="A26" s="53" t="s">
        <v>95</v>
      </c>
      <c r="B26" s="12" t="s">
        <v>96</v>
      </c>
      <c r="C26" s="13"/>
      <c r="D26" s="48"/>
      <c r="E26" s="14" t="s">
        <v>69</v>
      </c>
      <c r="F26" s="14" t="s">
        <v>69</v>
      </c>
      <c r="G26" s="14" t="s">
        <v>69</v>
      </c>
      <c r="H26" s="14" t="s">
        <v>69</v>
      </c>
      <c r="I26" s="14" t="s">
        <v>69</v>
      </c>
      <c r="J26" s="15">
        <v>0.05</v>
      </c>
      <c r="K26" s="15">
        <v>0</v>
      </c>
      <c r="L26" s="15">
        <v>0</v>
      </c>
      <c r="M26" s="15">
        <f>SUM(H26:L26)</f>
        <v>0.05</v>
      </c>
      <c r="N26" s="33">
        <f>ROUNDUP(M26,1)</f>
        <v>0.1</v>
      </c>
      <c r="O26" s="61">
        <f>N26</f>
        <v>0.1</v>
      </c>
      <c r="P26" s="69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72"/>
      <c r="CU26" s="72"/>
      <c r="CV26" s="72"/>
      <c r="CW26" s="72"/>
      <c r="CX26" s="72"/>
      <c r="CY26" s="72"/>
      <c r="CZ26" s="72"/>
      <c r="DA26" s="72"/>
      <c r="DB26" s="72"/>
      <c r="DC26" s="63"/>
      <c r="DD26" s="72"/>
      <c r="DE26" s="72"/>
      <c r="DF26" s="72"/>
      <c r="DG26" s="72"/>
      <c r="DH26" s="72"/>
      <c r="DI26" s="72"/>
      <c r="DJ26" s="72"/>
      <c r="DK26" s="72"/>
      <c r="DL26" s="72"/>
      <c r="DM26" s="72"/>
      <c r="DN26" s="72"/>
      <c r="DO26" s="72"/>
      <c r="DP26" s="72"/>
      <c r="DQ26" s="72"/>
      <c r="DR26" s="72"/>
      <c r="DS26" s="72"/>
      <c r="DT26" s="72"/>
      <c r="DU26" s="72"/>
      <c r="DV26" s="72"/>
      <c r="DW26" s="72"/>
      <c r="DX26" s="72"/>
      <c r="DY26" s="72"/>
      <c r="DZ26" s="72"/>
      <c r="EA26" s="72"/>
      <c r="EB26" s="72"/>
      <c r="EC26" s="72"/>
      <c r="ED26" s="72"/>
      <c r="EE26" s="72"/>
      <c r="EF26" s="72"/>
      <c r="EG26" s="72"/>
      <c r="EH26" s="72"/>
      <c r="EI26" s="72"/>
      <c r="EJ26" s="72"/>
      <c r="EK26" s="72"/>
      <c r="EL26" s="72"/>
      <c r="EM26" s="72"/>
      <c r="EN26" s="72"/>
      <c r="EO26" s="72"/>
    </row>
    <row r="27" s="42" customFormat="1" ht="15" customHeight="1" spans="1:145">
      <c r="A27" s="53"/>
      <c r="B27" s="12" t="s">
        <v>80</v>
      </c>
      <c r="C27" s="13"/>
      <c r="D27" s="48" t="s">
        <v>74</v>
      </c>
      <c r="E27" s="14">
        <v>100</v>
      </c>
      <c r="F27" s="14" t="s">
        <v>60</v>
      </c>
      <c r="G27" s="14">
        <v>250</v>
      </c>
      <c r="H27" s="15">
        <f t="shared" ref="H27:H30" si="7">E27/G27</f>
        <v>0.4</v>
      </c>
      <c r="I27" s="15">
        <v>0</v>
      </c>
      <c r="J27" s="15">
        <v>0.05</v>
      </c>
      <c r="K27" s="15">
        <v>0.05</v>
      </c>
      <c r="L27" s="15">
        <v>0</v>
      </c>
      <c r="M27" s="15">
        <f>SUM(H27:L27)</f>
        <v>0.5</v>
      </c>
      <c r="N27" s="33">
        <f>ROUNDUP(M27,1)</f>
        <v>0.5</v>
      </c>
      <c r="O27" s="34">
        <f>O26+N27</f>
        <v>0.6</v>
      </c>
      <c r="P27" s="63"/>
      <c r="Q27" s="69"/>
      <c r="R27" s="69"/>
      <c r="S27" s="69"/>
      <c r="T27" s="69"/>
      <c r="U27" s="69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F27" s="63"/>
      <c r="CG27" s="63"/>
      <c r="CH27" s="63"/>
      <c r="CI27" s="63"/>
      <c r="CJ27" s="63"/>
      <c r="CK27" s="63"/>
      <c r="CL27" s="63"/>
      <c r="CM27" s="63"/>
      <c r="CN27" s="63"/>
      <c r="CO27" s="63"/>
      <c r="CP27" s="63"/>
      <c r="CQ27" s="63"/>
      <c r="CR27" s="63"/>
      <c r="CS27" s="63"/>
      <c r="CT27" s="72"/>
      <c r="CU27" s="72"/>
      <c r="CV27" s="72"/>
      <c r="CW27" s="72"/>
      <c r="CX27" s="72"/>
      <c r="CY27" s="72"/>
      <c r="CZ27" s="72"/>
      <c r="DA27" s="72"/>
      <c r="DB27" s="72"/>
      <c r="DC27" s="63"/>
      <c r="DD27" s="72"/>
      <c r="DE27" s="72"/>
      <c r="DF27" s="72"/>
      <c r="DG27" s="72"/>
      <c r="DH27" s="72"/>
      <c r="DI27" s="72"/>
      <c r="DJ27" s="72"/>
      <c r="DK27" s="72"/>
      <c r="DL27" s="72"/>
      <c r="DM27" s="72"/>
      <c r="DN27" s="72"/>
      <c r="DO27" s="72"/>
      <c r="DP27" s="72"/>
      <c r="DQ27" s="72"/>
      <c r="DR27" s="72"/>
      <c r="DS27" s="72"/>
      <c r="DT27" s="72"/>
      <c r="DU27" s="72"/>
      <c r="DV27" s="72"/>
      <c r="DW27" s="72"/>
      <c r="DX27" s="72"/>
      <c r="DY27" s="72"/>
      <c r="DZ27" s="72"/>
      <c r="EA27" s="72"/>
      <c r="EB27" s="72"/>
      <c r="EC27" s="72"/>
      <c r="ED27" s="72"/>
      <c r="EE27" s="72"/>
      <c r="EF27" s="72"/>
      <c r="EG27" s="72"/>
      <c r="EH27" s="72"/>
      <c r="EI27" s="72"/>
      <c r="EJ27" s="72"/>
      <c r="EK27" s="72"/>
      <c r="EL27" s="72"/>
      <c r="EM27" s="72"/>
      <c r="EN27" s="72"/>
      <c r="EO27" s="72"/>
    </row>
    <row r="28" s="42" customFormat="1" ht="15" customHeight="1" spans="1:145">
      <c r="A28" s="53"/>
      <c r="B28" s="12" t="s">
        <v>97</v>
      </c>
      <c r="C28" s="54"/>
      <c r="D28" s="48" t="s">
        <v>82</v>
      </c>
      <c r="E28" s="14" t="s">
        <v>69</v>
      </c>
      <c r="F28" s="14" t="s">
        <v>69</v>
      </c>
      <c r="G28" s="14" t="s">
        <v>69</v>
      </c>
      <c r="H28" s="15">
        <v>0.3</v>
      </c>
      <c r="I28" s="32">
        <v>0</v>
      </c>
      <c r="J28" s="32">
        <v>0.05</v>
      </c>
      <c r="K28" s="32">
        <v>0</v>
      </c>
      <c r="L28" s="32">
        <v>0.07</v>
      </c>
      <c r="M28" s="15">
        <f>SUM(H28:L28)</f>
        <v>0.42</v>
      </c>
      <c r="N28" s="33">
        <f>ROUNDUP(M28,1)</f>
        <v>0.5</v>
      </c>
      <c r="O28" s="34">
        <f t="shared" ref="O28:O41" si="8">O27+N28</f>
        <v>1.1</v>
      </c>
      <c r="P28" s="63"/>
      <c r="Q28" s="63"/>
      <c r="R28" s="63"/>
      <c r="S28" s="63"/>
      <c r="T28" s="63"/>
      <c r="U28" s="63"/>
      <c r="V28" s="69"/>
      <c r="W28" s="69"/>
      <c r="X28" s="69"/>
      <c r="Y28" s="69"/>
      <c r="Z28" s="69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72"/>
      <c r="CU28" s="72"/>
      <c r="CV28" s="72"/>
      <c r="CW28" s="72"/>
      <c r="CX28" s="72"/>
      <c r="CY28" s="72"/>
      <c r="CZ28" s="72"/>
      <c r="DA28" s="72"/>
      <c r="DB28" s="72"/>
      <c r="DC28" s="63"/>
      <c r="DD28" s="72"/>
      <c r="DE28" s="72"/>
      <c r="DF28" s="72"/>
      <c r="DG28" s="72"/>
      <c r="DH28" s="72"/>
      <c r="DI28" s="72"/>
      <c r="DJ28" s="72"/>
      <c r="DK28" s="72"/>
      <c r="DL28" s="72"/>
      <c r="DM28" s="72"/>
      <c r="DN28" s="72"/>
      <c r="DO28" s="72"/>
      <c r="DP28" s="72"/>
      <c r="DQ28" s="72"/>
      <c r="DR28" s="72"/>
      <c r="DS28" s="72"/>
      <c r="DT28" s="72"/>
      <c r="DU28" s="72"/>
      <c r="DV28" s="72"/>
      <c r="DW28" s="72"/>
      <c r="DX28" s="72"/>
      <c r="DY28" s="72"/>
      <c r="DZ28" s="72"/>
      <c r="EA28" s="72"/>
      <c r="EB28" s="72"/>
      <c r="EC28" s="72"/>
      <c r="ED28" s="72"/>
      <c r="EE28" s="72"/>
      <c r="EF28" s="72"/>
      <c r="EG28" s="72"/>
      <c r="EH28" s="72"/>
      <c r="EI28" s="72"/>
      <c r="EJ28" s="72"/>
      <c r="EK28" s="72"/>
      <c r="EL28" s="72"/>
      <c r="EM28" s="72"/>
      <c r="EN28" s="72"/>
      <c r="EO28" s="72"/>
    </row>
    <row r="29" s="42" customFormat="1" ht="15" customHeight="1" spans="1:145">
      <c r="A29" s="53"/>
      <c r="B29" s="12" t="s">
        <v>83</v>
      </c>
      <c r="C29" s="13"/>
      <c r="D29" s="48" t="s">
        <v>74</v>
      </c>
      <c r="E29" s="14">
        <v>100</v>
      </c>
      <c r="F29" s="14" t="s">
        <v>60</v>
      </c>
      <c r="G29" s="14">
        <v>250</v>
      </c>
      <c r="H29" s="15">
        <f t="shared" si="7"/>
        <v>0.4</v>
      </c>
      <c r="I29" s="15">
        <v>0</v>
      </c>
      <c r="J29" s="15">
        <v>0.05</v>
      </c>
      <c r="K29" s="15">
        <v>0.05</v>
      </c>
      <c r="L29" s="15">
        <v>0</v>
      </c>
      <c r="M29" s="15">
        <f>SUM(H29:L29)</f>
        <v>0.5</v>
      </c>
      <c r="N29" s="33">
        <f>ROUNDUP(M29,1)</f>
        <v>0.5</v>
      </c>
      <c r="O29" s="34">
        <f t="shared" si="8"/>
        <v>1.6</v>
      </c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9"/>
      <c r="AB29" s="69"/>
      <c r="AC29" s="69"/>
      <c r="AD29" s="69"/>
      <c r="AE29" s="69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72"/>
      <c r="CU29" s="72"/>
      <c r="CV29" s="72"/>
      <c r="CW29" s="72"/>
      <c r="CX29" s="72"/>
      <c r="CY29" s="72"/>
      <c r="CZ29" s="72"/>
      <c r="DA29" s="72"/>
      <c r="DB29" s="72"/>
      <c r="DC29" s="63"/>
      <c r="DD29" s="72"/>
      <c r="DE29" s="72"/>
      <c r="DF29" s="72"/>
      <c r="DG29" s="72"/>
      <c r="DH29" s="72"/>
      <c r="DI29" s="72"/>
      <c r="DJ29" s="72"/>
      <c r="DK29" s="72"/>
      <c r="DL29" s="72"/>
      <c r="DM29" s="72"/>
      <c r="DN29" s="72"/>
      <c r="DO29" s="72"/>
      <c r="DP29" s="72"/>
      <c r="DQ29" s="72"/>
      <c r="DR29" s="72"/>
      <c r="DS29" s="72"/>
      <c r="DT29" s="72"/>
      <c r="DU29" s="72"/>
      <c r="DV29" s="72"/>
      <c r="DW29" s="72"/>
      <c r="DX29" s="72"/>
      <c r="DY29" s="72"/>
      <c r="DZ29" s="72"/>
      <c r="EA29" s="72"/>
      <c r="EB29" s="72"/>
      <c r="EC29" s="72"/>
      <c r="ED29" s="72"/>
      <c r="EE29" s="72"/>
      <c r="EF29" s="72"/>
      <c r="EG29" s="72"/>
      <c r="EH29" s="72"/>
      <c r="EI29" s="72"/>
      <c r="EJ29" s="72"/>
      <c r="EK29" s="72"/>
      <c r="EL29" s="72"/>
      <c r="EM29" s="72"/>
      <c r="EN29" s="72"/>
      <c r="EO29" s="72"/>
    </row>
    <row r="30" s="42" customFormat="1" ht="15" customHeight="1" spans="1:145">
      <c r="A30" s="53"/>
      <c r="B30" s="12" t="s">
        <v>98</v>
      </c>
      <c r="C30" s="13"/>
      <c r="D30" s="48" t="s">
        <v>71</v>
      </c>
      <c r="E30" s="17">
        <v>300</v>
      </c>
      <c r="F30" s="17" t="s">
        <v>72</v>
      </c>
      <c r="G30" s="17">
        <v>1500</v>
      </c>
      <c r="H30" s="15">
        <f t="shared" si="7"/>
        <v>0.2</v>
      </c>
      <c r="I30" s="15">
        <v>0</v>
      </c>
      <c r="J30" s="15">
        <v>0.05</v>
      </c>
      <c r="K30" s="15">
        <v>0.05</v>
      </c>
      <c r="L30" s="15">
        <v>0</v>
      </c>
      <c r="M30" s="15">
        <f t="shared" ref="M30:M48" si="9">SUM(H30:L30)</f>
        <v>0.3</v>
      </c>
      <c r="N30" s="33">
        <f t="shared" ref="N30:N48" si="10">ROUNDUP(M30,1)</f>
        <v>0.3</v>
      </c>
      <c r="O30" s="34">
        <f t="shared" si="8"/>
        <v>1.9</v>
      </c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9"/>
      <c r="AG30" s="69"/>
      <c r="AH30" s="69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  <c r="CI30" s="63"/>
      <c r="CJ30" s="63"/>
      <c r="CK30" s="63"/>
      <c r="CL30" s="63"/>
      <c r="CM30" s="63"/>
      <c r="CN30" s="63"/>
      <c r="CO30" s="63"/>
      <c r="CP30" s="63"/>
      <c r="CQ30" s="63"/>
      <c r="CR30" s="63"/>
      <c r="CS30" s="63"/>
      <c r="CT30" s="72"/>
      <c r="CU30" s="72"/>
      <c r="CV30" s="72"/>
      <c r="CW30" s="72"/>
      <c r="CX30" s="72"/>
      <c r="CY30" s="72"/>
      <c r="CZ30" s="72"/>
      <c r="DA30" s="72"/>
      <c r="DB30" s="72"/>
      <c r="DC30" s="63"/>
      <c r="DD30" s="72"/>
      <c r="DE30" s="72"/>
      <c r="DF30" s="72"/>
      <c r="DG30" s="72"/>
      <c r="DH30" s="72"/>
      <c r="DI30" s="72"/>
      <c r="DJ30" s="72"/>
      <c r="DK30" s="72"/>
      <c r="DL30" s="72"/>
      <c r="DM30" s="72"/>
      <c r="DN30" s="72"/>
      <c r="DO30" s="72"/>
      <c r="DP30" s="72"/>
      <c r="DQ30" s="72"/>
      <c r="DR30" s="72"/>
      <c r="DS30" s="72"/>
      <c r="DT30" s="72"/>
      <c r="DU30" s="72"/>
      <c r="DV30" s="72"/>
      <c r="DW30" s="72"/>
      <c r="DX30" s="72"/>
      <c r="DY30" s="72"/>
      <c r="DZ30" s="72"/>
      <c r="EA30" s="72"/>
      <c r="EB30" s="72"/>
      <c r="EC30" s="72"/>
      <c r="ED30" s="72"/>
      <c r="EE30" s="72"/>
      <c r="EF30" s="72"/>
      <c r="EG30" s="72"/>
      <c r="EH30" s="72"/>
      <c r="EI30" s="72"/>
      <c r="EJ30" s="72"/>
      <c r="EK30" s="72"/>
      <c r="EL30" s="72"/>
      <c r="EM30" s="72"/>
      <c r="EN30" s="72"/>
      <c r="EO30" s="72"/>
    </row>
    <row r="31" s="42" customFormat="1" ht="15" customHeight="1" spans="1:145">
      <c r="A31" s="53"/>
      <c r="B31" s="12" t="s">
        <v>99</v>
      </c>
      <c r="C31" s="13"/>
      <c r="D31" s="48" t="s">
        <v>76</v>
      </c>
      <c r="E31" s="17" t="s">
        <v>69</v>
      </c>
      <c r="F31" s="17" t="s">
        <v>69</v>
      </c>
      <c r="G31" s="17" t="s">
        <v>69</v>
      </c>
      <c r="H31" s="15">
        <v>1</v>
      </c>
      <c r="I31" s="15">
        <v>0</v>
      </c>
      <c r="J31" s="15">
        <v>0.05</v>
      </c>
      <c r="K31" s="15">
        <v>0</v>
      </c>
      <c r="L31" s="15">
        <v>0</v>
      </c>
      <c r="M31" s="15">
        <f t="shared" si="9"/>
        <v>1.05</v>
      </c>
      <c r="N31" s="33">
        <f t="shared" si="10"/>
        <v>1.1</v>
      </c>
      <c r="O31" s="34">
        <f t="shared" si="8"/>
        <v>3</v>
      </c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72"/>
      <c r="CU31" s="72"/>
      <c r="CV31" s="72"/>
      <c r="CW31" s="72"/>
      <c r="CX31" s="72"/>
      <c r="CY31" s="72"/>
      <c r="CZ31" s="72"/>
      <c r="DA31" s="72"/>
      <c r="DB31" s="72"/>
      <c r="DC31" s="63"/>
      <c r="DD31" s="72"/>
      <c r="DE31" s="72"/>
      <c r="DF31" s="72"/>
      <c r="DG31" s="72"/>
      <c r="DH31" s="72"/>
      <c r="DI31" s="72"/>
      <c r="DJ31" s="72"/>
      <c r="DK31" s="72"/>
      <c r="DL31" s="72"/>
      <c r="DM31" s="72"/>
      <c r="DN31" s="72"/>
      <c r="DO31" s="72"/>
      <c r="DP31" s="72"/>
      <c r="DQ31" s="72"/>
      <c r="DR31" s="72"/>
      <c r="DS31" s="72"/>
      <c r="DT31" s="72"/>
      <c r="DU31" s="72"/>
      <c r="DV31" s="72"/>
      <c r="DW31" s="72"/>
      <c r="DX31" s="72"/>
      <c r="DY31" s="72"/>
      <c r="DZ31" s="72"/>
      <c r="EA31" s="72"/>
      <c r="EB31" s="72"/>
      <c r="EC31" s="72"/>
      <c r="ED31" s="72"/>
      <c r="EE31" s="72"/>
      <c r="EF31" s="72"/>
      <c r="EG31" s="72"/>
      <c r="EH31" s="72"/>
      <c r="EI31" s="72"/>
      <c r="EJ31" s="72"/>
      <c r="EK31" s="72"/>
      <c r="EL31" s="72"/>
      <c r="EM31" s="72"/>
      <c r="EN31" s="72"/>
      <c r="EO31" s="72"/>
    </row>
    <row r="32" s="42" customFormat="1" ht="24" customHeight="1" spans="1:145">
      <c r="A32" s="53"/>
      <c r="B32" s="12" t="s">
        <v>100</v>
      </c>
      <c r="C32" s="13"/>
      <c r="D32" s="48" t="s">
        <v>71</v>
      </c>
      <c r="E32" s="17">
        <v>500</v>
      </c>
      <c r="F32" s="17" t="s">
        <v>101</v>
      </c>
      <c r="G32" s="17">
        <v>1500</v>
      </c>
      <c r="H32" s="15">
        <f t="shared" ref="H32:H35" si="11">E32/G32</f>
        <v>0.333333333333333</v>
      </c>
      <c r="I32" s="15">
        <v>0</v>
      </c>
      <c r="J32" s="15">
        <v>0.05</v>
      </c>
      <c r="K32" s="15">
        <v>0.05</v>
      </c>
      <c r="L32" s="15">
        <v>0</v>
      </c>
      <c r="M32" s="15">
        <f t="shared" si="9"/>
        <v>0.433333333333333</v>
      </c>
      <c r="N32" s="33">
        <f t="shared" si="10"/>
        <v>0.5</v>
      </c>
      <c r="O32" s="34">
        <f t="shared" si="8"/>
        <v>3.5</v>
      </c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9"/>
      <c r="AU32" s="69"/>
      <c r="AV32" s="69"/>
      <c r="AW32" s="69"/>
      <c r="AX32" s="69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72"/>
      <c r="CU32" s="72"/>
      <c r="CV32" s="72"/>
      <c r="CW32" s="72"/>
      <c r="CX32" s="72"/>
      <c r="CY32" s="72"/>
      <c r="CZ32" s="72"/>
      <c r="DA32" s="72"/>
      <c r="DB32" s="72"/>
      <c r="DC32" s="63"/>
      <c r="DD32" s="72"/>
      <c r="DE32" s="72"/>
      <c r="DF32" s="72"/>
      <c r="DG32" s="72"/>
      <c r="DH32" s="72"/>
      <c r="DI32" s="72"/>
      <c r="DJ32" s="72"/>
      <c r="DK32" s="72"/>
      <c r="DL32" s="72"/>
      <c r="DM32" s="72"/>
      <c r="DN32" s="72"/>
      <c r="DO32" s="72"/>
      <c r="DP32" s="72"/>
      <c r="DQ32" s="72"/>
      <c r="DR32" s="72"/>
      <c r="DS32" s="72"/>
      <c r="DT32" s="72"/>
      <c r="DU32" s="72"/>
      <c r="DV32" s="72"/>
      <c r="DW32" s="72"/>
      <c r="DX32" s="72"/>
      <c r="DY32" s="72"/>
      <c r="DZ32" s="72"/>
      <c r="EA32" s="72"/>
      <c r="EB32" s="72"/>
      <c r="EC32" s="72"/>
      <c r="ED32" s="72"/>
      <c r="EE32" s="72"/>
      <c r="EF32" s="72"/>
      <c r="EG32" s="72"/>
      <c r="EH32" s="72"/>
      <c r="EI32" s="72"/>
      <c r="EJ32" s="72"/>
      <c r="EK32" s="72"/>
      <c r="EL32" s="72"/>
      <c r="EM32" s="72"/>
      <c r="EN32" s="72"/>
      <c r="EO32" s="72"/>
    </row>
    <row r="33" s="42" customFormat="1" ht="15" customHeight="1" spans="1:145">
      <c r="A33" s="53"/>
      <c r="B33" s="12" t="s">
        <v>102</v>
      </c>
      <c r="C33" s="13"/>
      <c r="D33" s="48" t="s">
        <v>62</v>
      </c>
      <c r="E33" s="14">
        <v>10</v>
      </c>
      <c r="F33" s="14" t="s">
        <v>60</v>
      </c>
      <c r="G33" s="14">
        <v>250</v>
      </c>
      <c r="H33" s="15">
        <f t="shared" si="11"/>
        <v>0.04</v>
      </c>
      <c r="I33" s="15">
        <v>0</v>
      </c>
      <c r="J33" s="15">
        <v>0.05</v>
      </c>
      <c r="K33" s="15">
        <v>0</v>
      </c>
      <c r="L33" s="15">
        <v>0.07</v>
      </c>
      <c r="M33" s="15">
        <f t="shared" si="9"/>
        <v>0.16</v>
      </c>
      <c r="N33" s="33">
        <f t="shared" si="10"/>
        <v>0.2</v>
      </c>
      <c r="O33" s="34">
        <f t="shared" si="8"/>
        <v>3.7</v>
      </c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9"/>
      <c r="AZ33" s="69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72"/>
      <c r="CU33" s="72"/>
      <c r="CV33" s="72"/>
      <c r="CW33" s="72"/>
      <c r="CX33" s="72"/>
      <c r="CY33" s="72"/>
      <c r="CZ33" s="72"/>
      <c r="DA33" s="72"/>
      <c r="DB33" s="72"/>
      <c r="DC33" s="63"/>
      <c r="DD33" s="72"/>
      <c r="DE33" s="72"/>
      <c r="DF33" s="72"/>
      <c r="DG33" s="72"/>
      <c r="DH33" s="72"/>
      <c r="DI33" s="72"/>
      <c r="DJ33" s="72"/>
      <c r="DK33" s="72"/>
      <c r="DL33" s="72"/>
      <c r="DM33" s="72"/>
      <c r="DN33" s="72"/>
      <c r="DO33" s="72"/>
      <c r="DP33" s="72"/>
      <c r="DQ33" s="72"/>
      <c r="DR33" s="72"/>
      <c r="DS33" s="72"/>
      <c r="DT33" s="72"/>
      <c r="DU33" s="72"/>
      <c r="DV33" s="72"/>
      <c r="DW33" s="72"/>
      <c r="DX33" s="72"/>
      <c r="DY33" s="72"/>
      <c r="DZ33" s="72"/>
      <c r="EA33" s="72"/>
      <c r="EB33" s="72"/>
      <c r="EC33" s="72"/>
      <c r="ED33" s="72"/>
      <c r="EE33" s="72"/>
      <c r="EF33" s="72"/>
      <c r="EG33" s="72"/>
      <c r="EH33" s="72"/>
      <c r="EI33" s="72"/>
      <c r="EJ33" s="72"/>
      <c r="EK33" s="72"/>
      <c r="EL33" s="72"/>
      <c r="EM33" s="72"/>
      <c r="EN33" s="72"/>
      <c r="EO33" s="72"/>
    </row>
    <row r="34" s="42" customFormat="1" ht="20" customHeight="1" spans="1:145">
      <c r="A34" s="53"/>
      <c r="B34" s="12" t="s">
        <v>103</v>
      </c>
      <c r="C34" s="13"/>
      <c r="D34" s="48" t="s">
        <v>82</v>
      </c>
      <c r="E34" s="14" t="s">
        <v>69</v>
      </c>
      <c r="F34" s="14" t="s">
        <v>69</v>
      </c>
      <c r="G34" s="14" t="s">
        <v>69</v>
      </c>
      <c r="H34" s="15">
        <v>0.5</v>
      </c>
      <c r="I34" s="32">
        <v>0</v>
      </c>
      <c r="J34" s="32">
        <v>0.05</v>
      </c>
      <c r="K34" s="32">
        <v>0</v>
      </c>
      <c r="L34" s="32">
        <v>0.07</v>
      </c>
      <c r="M34" s="15">
        <f t="shared" si="9"/>
        <v>0.62</v>
      </c>
      <c r="N34" s="33">
        <f t="shared" si="10"/>
        <v>0.7</v>
      </c>
      <c r="O34" s="34">
        <f t="shared" si="8"/>
        <v>4.4</v>
      </c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9"/>
      <c r="BB34" s="69"/>
      <c r="BC34" s="69"/>
      <c r="BD34" s="69"/>
      <c r="BE34" s="69"/>
      <c r="BF34" s="69"/>
      <c r="BG34" s="69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63"/>
      <c r="CP34" s="63"/>
      <c r="CQ34" s="63"/>
      <c r="CR34" s="63"/>
      <c r="CS34" s="63"/>
      <c r="CT34" s="72"/>
      <c r="CU34" s="72"/>
      <c r="CV34" s="72"/>
      <c r="CW34" s="72"/>
      <c r="CX34" s="72"/>
      <c r="CY34" s="72"/>
      <c r="CZ34" s="72"/>
      <c r="DA34" s="72"/>
      <c r="DB34" s="72"/>
      <c r="DC34" s="63"/>
      <c r="DD34" s="72"/>
      <c r="DE34" s="72"/>
      <c r="DF34" s="72"/>
      <c r="DG34" s="72"/>
      <c r="DH34" s="72"/>
      <c r="DI34" s="72"/>
      <c r="DJ34" s="72"/>
      <c r="DK34" s="72"/>
      <c r="DL34" s="72"/>
      <c r="DM34" s="72"/>
      <c r="DN34" s="72"/>
      <c r="DO34" s="72"/>
      <c r="DP34" s="72"/>
      <c r="DQ34" s="72"/>
      <c r="DR34" s="72"/>
      <c r="DS34" s="72"/>
      <c r="DT34" s="72"/>
      <c r="DU34" s="72"/>
      <c r="DV34" s="72"/>
      <c r="DW34" s="72"/>
      <c r="DX34" s="72"/>
      <c r="DY34" s="72"/>
      <c r="DZ34" s="72"/>
      <c r="EA34" s="72"/>
      <c r="EB34" s="72"/>
      <c r="EC34" s="72"/>
      <c r="ED34" s="72"/>
      <c r="EE34" s="72"/>
      <c r="EF34" s="72"/>
      <c r="EG34" s="72"/>
      <c r="EH34" s="72"/>
      <c r="EI34" s="72"/>
      <c r="EJ34" s="72"/>
      <c r="EK34" s="72"/>
      <c r="EL34" s="72"/>
      <c r="EM34" s="72"/>
      <c r="EN34" s="72"/>
      <c r="EO34" s="72"/>
    </row>
    <row r="35" s="42" customFormat="1" ht="15" customHeight="1" spans="1:145">
      <c r="A35" s="53"/>
      <c r="B35" s="12" t="s">
        <v>104</v>
      </c>
      <c r="C35" s="54"/>
      <c r="D35" s="48" t="s">
        <v>62</v>
      </c>
      <c r="E35" s="14">
        <v>10</v>
      </c>
      <c r="F35" s="14" t="s">
        <v>60</v>
      </c>
      <c r="G35" s="14">
        <v>250</v>
      </c>
      <c r="H35" s="15">
        <v>0.2</v>
      </c>
      <c r="I35" s="15">
        <v>0</v>
      </c>
      <c r="J35" s="15">
        <v>0.05</v>
      </c>
      <c r="K35" s="15">
        <v>0</v>
      </c>
      <c r="L35" s="15">
        <v>0.07</v>
      </c>
      <c r="M35" s="15">
        <f t="shared" si="9"/>
        <v>0.32</v>
      </c>
      <c r="N35" s="33">
        <f t="shared" si="10"/>
        <v>0.4</v>
      </c>
      <c r="O35" s="34">
        <f t="shared" si="8"/>
        <v>4.8</v>
      </c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58"/>
      <c r="BI35" s="58"/>
      <c r="BJ35" s="58"/>
      <c r="BK35" s="58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63"/>
      <c r="CL35" s="63"/>
      <c r="CM35" s="63"/>
      <c r="CN35" s="63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</row>
    <row r="36" s="42" customFormat="1" ht="23" customHeight="1" spans="1:145">
      <c r="A36" s="53"/>
      <c r="B36" s="12" t="s">
        <v>105</v>
      </c>
      <c r="C36" s="56"/>
      <c r="D36" s="48" t="s">
        <v>74</v>
      </c>
      <c r="E36" s="17">
        <v>150</v>
      </c>
      <c r="F36" s="17" t="s">
        <v>106</v>
      </c>
      <c r="G36" s="17">
        <v>250</v>
      </c>
      <c r="H36" s="15">
        <v>0.7</v>
      </c>
      <c r="I36" s="15">
        <v>0</v>
      </c>
      <c r="J36" s="15">
        <v>0.05</v>
      </c>
      <c r="K36" s="15">
        <v>0</v>
      </c>
      <c r="L36" s="15">
        <v>0</v>
      </c>
      <c r="M36" s="15">
        <f t="shared" si="9"/>
        <v>0.75</v>
      </c>
      <c r="N36" s="33">
        <f t="shared" si="10"/>
        <v>0.8</v>
      </c>
      <c r="O36" s="34">
        <f t="shared" si="8"/>
        <v>5.6</v>
      </c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58"/>
      <c r="BM36" s="58"/>
      <c r="BN36" s="58"/>
      <c r="BO36" s="58"/>
      <c r="BP36" s="58"/>
      <c r="BQ36" s="58"/>
      <c r="BR36" s="58"/>
      <c r="BS36" s="58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63"/>
      <c r="CL36" s="63"/>
      <c r="CM36" s="63"/>
      <c r="CN36" s="63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</row>
    <row r="37" s="42" customFormat="1" ht="15" customHeight="1" spans="1:145">
      <c r="A37" s="53"/>
      <c r="B37" s="12" t="s">
        <v>107</v>
      </c>
      <c r="C37" s="13"/>
      <c r="D37" s="48" t="s">
        <v>74</v>
      </c>
      <c r="E37" s="14">
        <v>10</v>
      </c>
      <c r="F37" s="14" t="s">
        <v>89</v>
      </c>
      <c r="G37" s="14">
        <v>250</v>
      </c>
      <c r="H37" s="15">
        <v>0.5</v>
      </c>
      <c r="I37" s="15">
        <v>0</v>
      </c>
      <c r="J37" s="15">
        <v>0.05</v>
      </c>
      <c r="K37" s="15">
        <v>0</v>
      </c>
      <c r="L37" s="15">
        <v>0</v>
      </c>
      <c r="M37" s="15">
        <f t="shared" si="9"/>
        <v>0.55</v>
      </c>
      <c r="N37" s="33">
        <f t="shared" si="10"/>
        <v>0.6</v>
      </c>
      <c r="O37" s="34">
        <f t="shared" si="8"/>
        <v>6.2</v>
      </c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58"/>
      <c r="BU37" s="58"/>
      <c r="BV37" s="58"/>
      <c r="BW37" s="58"/>
      <c r="BX37" s="58"/>
      <c r="BY37" s="58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63"/>
      <c r="CL37" s="63"/>
      <c r="CM37" s="63"/>
      <c r="CN37" s="63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</row>
    <row r="38" s="42" customFormat="1" ht="15" customHeight="1" spans="1:145">
      <c r="A38" s="53"/>
      <c r="B38" s="12" t="s">
        <v>108</v>
      </c>
      <c r="C38" s="13"/>
      <c r="D38" s="48" t="s">
        <v>62</v>
      </c>
      <c r="E38" s="14">
        <v>10</v>
      </c>
      <c r="F38" s="14" t="s">
        <v>60</v>
      </c>
      <c r="G38" s="14">
        <v>250</v>
      </c>
      <c r="H38" s="15">
        <v>0.2</v>
      </c>
      <c r="I38" s="15">
        <v>0</v>
      </c>
      <c r="J38" s="15">
        <v>0.05</v>
      </c>
      <c r="K38" s="15">
        <v>0</v>
      </c>
      <c r="L38" s="15">
        <v>0.07</v>
      </c>
      <c r="M38" s="15">
        <f t="shared" si="9"/>
        <v>0.32</v>
      </c>
      <c r="N38" s="33">
        <f t="shared" si="10"/>
        <v>0.4</v>
      </c>
      <c r="O38" s="34">
        <f t="shared" si="8"/>
        <v>6.6</v>
      </c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58"/>
      <c r="CA38" s="58"/>
      <c r="CB38" s="58"/>
      <c r="CC38" s="58"/>
      <c r="CD38" s="36"/>
      <c r="CE38" s="36"/>
      <c r="CF38" s="36"/>
      <c r="CG38" s="36"/>
      <c r="CH38" s="36"/>
      <c r="CI38" s="36"/>
      <c r="CJ38" s="36"/>
      <c r="CK38" s="63"/>
      <c r="CL38" s="63"/>
      <c r="CM38" s="63"/>
      <c r="CN38" s="63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</row>
    <row r="39" s="42" customFormat="1" ht="15" customHeight="1" spans="1:145">
      <c r="A39" s="53"/>
      <c r="B39" s="42" t="s">
        <v>109</v>
      </c>
      <c r="D39" s="48" t="s">
        <v>82</v>
      </c>
      <c r="E39" s="14" t="s">
        <v>69</v>
      </c>
      <c r="F39" s="14" t="s">
        <v>69</v>
      </c>
      <c r="G39" s="14" t="s">
        <v>69</v>
      </c>
      <c r="H39" s="15">
        <v>0.5</v>
      </c>
      <c r="I39" s="15">
        <v>0</v>
      </c>
      <c r="J39" s="32">
        <v>0.05</v>
      </c>
      <c r="K39" s="32">
        <v>0</v>
      </c>
      <c r="L39" s="32">
        <v>0.07</v>
      </c>
      <c r="M39" s="15">
        <f t="shared" si="9"/>
        <v>0.62</v>
      </c>
      <c r="N39" s="33">
        <f t="shared" si="10"/>
        <v>0.7</v>
      </c>
      <c r="O39" s="34">
        <f t="shared" si="8"/>
        <v>7.3</v>
      </c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58"/>
      <c r="CE39" s="58"/>
      <c r="CF39" s="58"/>
      <c r="CG39" s="58"/>
      <c r="CH39" s="58"/>
      <c r="CI39" s="58"/>
      <c r="CJ39" s="58"/>
      <c r="CK39" s="63"/>
      <c r="CL39" s="63"/>
      <c r="CM39" s="63"/>
      <c r="CN39" s="63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</row>
    <row r="40" s="42" customFormat="1" ht="15" customHeight="1" spans="1:145">
      <c r="A40" s="53"/>
      <c r="B40" s="12" t="s">
        <v>110</v>
      </c>
      <c r="C40" s="13"/>
      <c r="D40" s="48" t="s">
        <v>74</v>
      </c>
      <c r="E40" s="14">
        <v>100</v>
      </c>
      <c r="F40" s="14" t="s">
        <v>60</v>
      </c>
      <c r="G40" s="14">
        <v>250</v>
      </c>
      <c r="H40" s="15">
        <f>E40/G40</f>
        <v>0.4</v>
      </c>
      <c r="I40" s="15">
        <v>0</v>
      </c>
      <c r="J40" s="15">
        <v>0.05</v>
      </c>
      <c r="K40" s="15">
        <v>0.05</v>
      </c>
      <c r="L40" s="15">
        <v>0</v>
      </c>
      <c r="M40" s="15">
        <f t="shared" si="9"/>
        <v>0.5</v>
      </c>
      <c r="N40" s="33">
        <f t="shared" si="10"/>
        <v>0.5</v>
      </c>
      <c r="O40" s="34">
        <f t="shared" si="8"/>
        <v>7.8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69"/>
      <c r="CL40" s="69"/>
      <c r="CM40" s="69"/>
      <c r="CN40" s="69"/>
      <c r="CO40" s="58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</row>
    <row r="41" s="42" customFormat="1" ht="15" customHeight="1" spans="1:145">
      <c r="A41" s="53"/>
      <c r="B41" s="12" t="s">
        <v>111</v>
      </c>
      <c r="C41" s="13"/>
      <c r="D41" s="48" t="s">
        <v>71</v>
      </c>
      <c r="E41" s="17">
        <v>800</v>
      </c>
      <c r="F41" s="17" t="s">
        <v>72</v>
      </c>
      <c r="G41" s="17">
        <v>1500</v>
      </c>
      <c r="H41" s="15">
        <f>E41/G41</f>
        <v>0.533333333333333</v>
      </c>
      <c r="I41" s="15">
        <v>0</v>
      </c>
      <c r="J41" s="15">
        <v>0.05</v>
      </c>
      <c r="K41" s="15">
        <v>0.05</v>
      </c>
      <c r="L41" s="15">
        <v>0</v>
      </c>
      <c r="M41" s="15">
        <f t="shared" si="9"/>
        <v>0.633333333333333</v>
      </c>
      <c r="N41" s="33">
        <f t="shared" si="10"/>
        <v>0.7</v>
      </c>
      <c r="O41" s="59">
        <f t="shared" si="8"/>
        <v>8.5</v>
      </c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58"/>
      <c r="CQ41" s="58"/>
      <c r="CR41" s="58"/>
      <c r="CS41" s="58"/>
      <c r="CT41" s="58"/>
      <c r="CU41" s="58"/>
      <c r="CV41" s="58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</row>
    <row r="42" ht="15" customHeight="1" spans="1:145">
      <c r="A42" s="11" t="s">
        <v>112</v>
      </c>
      <c r="B42" s="12" t="s">
        <v>113</v>
      </c>
      <c r="C42" s="13"/>
      <c r="D42" s="48"/>
      <c r="E42" s="14" t="s">
        <v>69</v>
      </c>
      <c r="F42" s="14" t="s">
        <v>69</v>
      </c>
      <c r="G42" s="14" t="s">
        <v>69</v>
      </c>
      <c r="H42" s="14" t="s">
        <v>69</v>
      </c>
      <c r="I42" s="14" t="s">
        <v>69</v>
      </c>
      <c r="J42" s="15">
        <v>0.05</v>
      </c>
      <c r="K42" s="15">
        <v>0</v>
      </c>
      <c r="L42" s="15">
        <v>0</v>
      </c>
      <c r="M42" s="15">
        <f t="shared" si="9"/>
        <v>0.05</v>
      </c>
      <c r="N42" s="33">
        <f t="shared" si="10"/>
        <v>0.1</v>
      </c>
      <c r="O42" s="61">
        <f>N42</f>
        <v>0.1</v>
      </c>
      <c r="P42" s="70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71"/>
      <c r="CR42" s="71"/>
      <c r="CS42" s="71"/>
      <c r="CT42" s="71"/>
      <c r="CU42" s="71"/>
      <c r="CV42" s="71"/>
      <c r="CW42" s="71"/>
      <c r="CX42" s="71"/>
      <c r="CY42" s="71"/>
      <c r="CZ42" s="71"/>
      <c r="DA42" s="71"/>
      <c r="DB42" s="71"/>
      <c r="DC42" s="71"/>
      <c r="DD42" s="71"/>
      <c r="DE42" s="71"/>
      <c r="DF42" s="71"/>
      <c r="DG42" s="71"/>
      <c r="DH42" s="71"/>
      <c r="DI42" s="71"/>
      <c r="DJ42" s="71"/>
      <c r="DK42" s="71"/>
      <c r="DL42" s="71"/>
      <c r="DM42" s="71"/>
      <c r="DN42" s="71"/>
      <c r="DO42" s="71"/>
      <c r="DP42" s="71"/>
      <c r="DQ42" s="71"/>
      <c r="DR42" s="71"/>
      <c r="DS42" s="71"/>
      <c r="DT42" s="71"/>
      <c r="DU42" s="71"/>
      <c r="DV42" s="71"/>
      <c r="DW42" s="71"/>
      <c r="DX42" s="71"/>
      <c r="DY42" s="71"/>
      <c r="DZ42" s="71"/>
      <c r="EA42" s="71"/>
      <c r="EB42" s="71"/>
      <c r="EC42" s="71"/>
      <c r="ED42" s="71"/>
      <c r="EE42" s="71"/>
      <c r="EF42" s="71"/>
      <c r="EG42" s="71"/>
      <c r="EH42" s="71"/>
      <c r="EI42" s="71"/>
      <c r="EJ42" s="71"/>
      <c r="EK42" s="71"/>
      <c r="EL42" s="71"/>
      <c r="EM42" s="71"/>
      <c r="EN42" s="71"/>
      <c r="EO42" s="71"/>
    </row>
    <row r="43" ht="15" customHeight="1" spans="1:145">
      <c r="A43" s="16"/>
      <c r="B43" s="12" t="s">
        <v>81</v>
      </c>
      <c r="C43" s="13"/>
      <c r="D43" s="48" t="s">
        <v>82</v>
      </c>
      <c r="E43" s="14" t="s">
        <v>69</v>
      </c>
      <c r="F43" s="14" t="s">
        <v>69</v>
      </c>
      <c r="G43" s="14" t="s">
        <v>69</v>
      </c>
      <c r="H43" s="15">
        <v>0.5</v>
      </c>
      <c r="I43" s="32">
        <v>0</v>
      </c>
      <c r="J43" s="32">
        <v>0.05</v>
      </c>
      <c r="K43" s="32">
        <v>0</v>
      </c>
      <c r="L43" s="32">
        <v>0.07</v>
      </c>
      <c r="M43" s="15">
        <f t="shared" si="9"/>
        <v>0.62</v>
      </c>
      <c r="N43" s="33">
        <f t="shared" si="10"/>
        <v>0.7</v>
      </c>
      <c r="O43" s="61">
        <f t="shared" ref="O43:O48" si="12">O42+N43</f>
        <v>0.8</v>
      </c>
      <c r="P43" s="36"/>
      <c r="Q43" s="70"/>
      <c r="R43" s="70"/>
      <c r="S43" s="70"/>
      <c r="T43" s="70"/>
      <c r="U43" s="70"/>
      <c r="V43" s="70"/>
      <c r="W43" s="70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71"/>
      <c r="DJ43" s="71"/>
      <c r="DK43" s="71"/>
      <c r="DL43" s="71"/>
      <c r="DM43" s="71"/>
      <c r="DN43" s="71"/>
      <c r="DO43" s="71"/>
      <c r="DP43" s="71"/>
      <c r="DQ43" s="71"/>
      <c r="DR43" s="71"/>
      <c r="DS43" s="71"/>
      <c r="DT43" s="71"/>
      <c r="DU43" s="71"/>
      <c r="DV43" s="71"/>
      <c r="DW43" s="71"/>
      <c r="DX43" s="71"/>
      <c r="DY43" s="71"/>
      <c r="DZ43" s="71"/>
      <c r="EA43" s="71"/>
      <c r="EB43" s="71"/>
      <c r="EC43" s="71"/>
      <c r="ED43" s="71"/>
      <c r="EE43" s="71"/>
      <c r="EF43" s="71"/>
      <c r="EG43" s="71"/>
      <c r="EH43" s="71"/>
      <c r="EI43" s="71"/>
      <c r="EJ43" s="71"/>
      <c r="EK43" s="71"/>
      <c r="EL43" s="71"/>
      <c r="EM43" s="71"/>
      <c r="EN43" s="71"/>
      <c r="EO43" s="71"/>
    </row>
    <row r="44" ht="15" customHeight="1" spans="1:145">
      <c r="A44" s="16"/>
      <c r="B44" s="12" t="s">
        <v>114</v>
      </c>
      <c r="C44" s="18"/>
      <c r="D44" s="48" t="s">
        <v>74</v>
      </c>
      <c r="E44" s="17">
        <v>100</v>
      </c>
      <c r="F44" s="17" t="s">
        <v>115</v>
      </c>
      <c r="G44" s="17">
        <v>250</v>
      </c>
      <c r="H44" s="15">
        <v>1.5</v>
      </c>
      <c r="I44" s="15">
        <v>0</v>
      </c>
      <c r="J44" s="15">
        <v>0.05</v>
      </c>
      <c r="K44" s="15">
        <v>0</v>
      </c>
      <c r="L44" s="15">
        <v>0</v>
      </c>
      <c r="M44" s="15">
        <f t="shared" si="9"/>
        <v>1.55</v>
      </c>
      <c r="N44" s="33">
        <f t="shared" si="10"/>
        <v>1.6</v>
      </c>
      <c r="O44" s="61">
        <f t="shared" si="12"/>
        <v>2.4</v>
      </c>
      <c r="P44" s="36"/>
      <c r="Q44" s="36"/>
      <c r="R44" s="36"/>
      <c r="S44" s="36"/>
      <c r="T44" s="36"/>
      <c r="U44" s="36"/>
      <c r="V44" s="36"/>
      <c r="W44" s="36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71"/>
      <c r="DJ44" s="71"/>
      <c r="DK44" s="71"/>
      <c r="DL44" s="71"/>
      <c r="DM44" s="71"/>
      <c r="DN44" s="71"/>
      <c r="DO44" s="71"/>
      <c r="DP44" s="71"/>
      <c r="DQ44" s="71"/>
      <c r="DR44" s="71"/>
      <c r="DS44" s="71"/>
      <c r="DT44" s="71"/>
      <c r="DU44" s="71"/>
      <c r="DV44" s="71"/>
      <c r="DW44" s="71"/>
      <c r="DX44" s="71"/>
      <c r="DY44" s="71"/>
      <c r="DZ44" s="71"/>
      <c r="EA44" s="71"/>
      <c r="EB44" s="71"/>
      <c r="EC44" s="71"/>
      <c r="ED44" s="71"/>
      <c r="EE44" s="71"/>
      <c r="EF44" s="71"/>
      <c r="EG44" s="71"/>
      <c r="EH44" s="71"/>
      <c r="EI44" s="71"/>
      <c r="EJ44" s="71"/>
      <c r="EK44" s="71"/>
      <c r="EL44" s="71"/>
      <c r="EM44" s="71"/>
      <c r="EN44" s="71"/>
      <c r="EO44" s="71"/>
    </row>
    <row r="45" ht="15" customHeight="1" spans="1:145">
      <c r="A45" s="16"/>
      <c r="B45" s="12" t="s">
        <v>116</v>
      </c>
      <c r="C45" s="56"/>
      <c r="D45" s="48" t="s">
        <v>117</v>
      </c>
      <c r="E45" s="17">
        <v>50</v>
      </c>
      <c r="F45" s="17" t="s">
        <v>60</v>
      </c>
      <c r="G45" s="17">
        <v>500</v>
      </c>
      <c r="H45" s="15">
        <v>0.5</v>
      </c>
      <c r="I45" s="17">
        <v>0</v>
      </c>
      <c r="J45" s="15">
        <v>0.05</v>
      </c>
      <c r="K45" s="15">
        <v>0.05</v>
      </c>
      <c r="L45" s="15">
        <v>0</v>
      </c>
      <c r="M45" s="15">
        <f t="shared" si="9"/>
        <v>0.6</v>
      </c>
      <c r="N45" s="33">
        <f t="shared" si="10"/>
        <v>0.6</v>
      </c>
      <c r="O45" s="61">
        <f t="shared" si="12"/>
        <v>3</v>
      </c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70"/>
      <c r="AO45" s="70"/>
      <c r="AP45" s="70"/>
      <c r="AQ45" s="70"/>
      <c r="AR45" s="70"/>
      <c r="AS45" s="70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71"/>
      <c r="DJ45" s="71"/>
      <c r="DK45" s="71"/>
      <c r="DL45" s="71"/>
      <c r="DM45" s="71"/>
      <c r="DN45" s="71"/>
      <c r="DO45" s="71"/>
      <c r="DP45" s="71"/>
      <c r="DQ45" s="71"/>
      <c r="DR45" s="71"/>
      <c r="DS45" s="71"/>
      <c r="DT45" s="71"/>
      <c r="DU45" s="71"/>
      <c r="DV45" s="71"/>
      <c r="DW45" s="71"/>
      <c r="DX45" s="71"/>
      <c r="DY45" s="71"/>
      <c r="DZ45" s="71"/>
      <c r="EA45" s="71"/>
      <c r="EB45" s="71"/>
      <c r="EC45" s="71"/>
      <c r="ED45" s="71"/>
      <c r="EE45" s="71"/>
      <c r="EF45" s="71"/>
      <c r="EG45" s="71"/>
      <c r="EH45" s="71"/>
      <c r="EI45" s="71"/>
      <c r="EJ45" s="71"/>
      <c r="EK45" s="71"/>
      <c r="EL45" s="71"/>
      <c r="EM45" s="71"/>
      <c r="EN45" s="71"/>
      <c r="EO45" s="71"/>
    </row>
    <row r="46" ht="15" customHeight="1" spans="1:145">
      <c r="A46" s="16"/>
      <c r="B46" s="1" t="s">
        <v>85</v>
      </c>
      <c r="D46" s="48" t="s">
        <v>82</v>
      </c>
      <c r="E46" s="14" t="s">
        <v>69</v>
      </c>
      <c r="F46" s="14" t="s">
        <v>69</v>
      </c>
      <c r="G46" s="14" t="s">
        <v>69</v>
      </c>
      <c r="H46" s="15">
        <v>0.8</v>
      </c>
      <c r="I46" s="32">
        <v>0</v>
      </c>
      <c r="J46" s="32">
        <v>0.05</v>
      </c>
      <c r="K46" s="32">
        <v>0</v>
      </c>
      <c r="L46" s="32">
        <v>0.07</v>
      </c>
      <c r="M46" s="15">
        <f t="shared" si="9"/>
        <v>0.92</v>
      </c>
      <c r="N46" s="33">
        <f t="shared" si="10"/>
        <v>1</v>
      </c>
      <c r="O46" s="61">
        <f t="shared" si="12"/>
        <v>4</v>
      </c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71"/>
      <c r="DJ46" s="71"/>
      <c r="DK46" s="71"/>
      <c r="DL46" s="71"/>
      <c r="DM46" s="71"/>
      <c r="DN46" s="71"/>
      <c r="DO46" s="71"/>
      <c r="DP46" s="71"/>
      <c r="DQ46" s="71"/>
      <c r="DR46" s="71"/>
      <c r="DS46" s="71"/>
      <c r="DT46" s="71"/>
      <c r="DU46" s="71"/>
      <c r="DV46" s="71"/>
      <c r="DW46" s="71"/>
      <c r="DX46" s="71"/>
      <c r="DY46" s="71"/>
      <c r="DZ46" s="71"/>
      <c r="EA46" s="71"/>
      <c r="EB46" s="71"/>
      <c r="EC46" s="71"/>
      <c r="ED46" s="71"/>
      <c r="EE46" s="71"/>
      <c r="EF46" s="71"/>
      <c r="EG46" s="71"/>
      <c r="EH46" s="71"/>
      <c r="EI46" s="71"/>
      <c r="EJ46" s="71"/>
      <c r="EK46" s="71"/>
      <c r="EL46" s="71"/>
      <c r="EM46" s="71"/>
      <c r="EN46" s="71"/>
      <c r="EO46" s="71"/>
    </row>
    <row r="47" ht="15" customHeight="1" spans="1:145">
      <c r="A47" s="16"/>
      <c r="B47" s="12" t="s">
        <v>118</v>
      </c>
      <c r="C47" s="56"/>
      <c r="D47" s="48" t="s">
        <v>117</v>
      </c>
      <c r="E47" s="17">
        <v>50</v>
      </c>
      <c r="F47" s="17" t="s">
        <v>60</v>
      </c>
      <c r="G47" s="17">
        <v>500</v>
      </c>
      <c r="H47" s="15">
        <v>0.5</v>
      </c>
      <c r="I47" s="17">
        <v>0</v>
      </c>
      <c r="J47" s="15">
        <v>0.05</v>
      </c>
      <c r="K47" s="15">
        <v>0.05</v>
      </c>
      <c r="L47" s="15">
        <v>0</v>
      </c>
      <c r="M47" s="15">
        <f t="shared" si="9"/>
        <v>0.6</v>
      </c>
      <c r="N47" s="33">
        <f t="shared" si="10"/>
        <v>0.6</v>
      </c>
      <c r="O47" s="61">
        <f t="shared" si="12"/>
        <v>4.6</v>
      </c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70"/>
      <c r="BE47" s="70"/>
      <c r="BF47" s="70"/>
      <c r="BG47" s="70"/>
      <c r="BH47" s="70"/>
      <c r="BI47" s="70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41"/>
      <c r="CU47" s="41"/>
      <c r="CV47" s="41"/>
      <c r="CW47" s="41"/>
      <c r="CX47" s="41"/>
      <c r="CY47" s="41"/>
      <c r="CZ47" s="41"/>
      <c r="DA47" s="41"/>
      <c r="DB47" s="41"/>
      <c r="DC47" s="36"/>
      <c r="DD47" s="41"/>
      <c r="DE47" s="41"/>
      <c r="DF47" s="41"/>
      <c r="DG47" s="41"/>
      <c r="DH47" s="41"/>
      <c r="DI47" s="41"/>
      <c r="DJ47" s="41"/>
      <c r="DK47" s="41"/>
      <c r="DL47" s="41"/>
      <c r="DM47" s="41"/>
      <c r="DN47" s="41"/>
      <c r="DO47" s="41"/>
      <c r="DP47" s="41"/>
      <c r="DQ47" s="41"/>
      <c r="DR47" s="41"/>
      <c r="DS47" s="41"/>
      <c r="DT47" s="41"/>
      <c r="DU47" s="41"/>
      <c r="DV47" s="41"/>
      <c r="DW47" s="41"/>
      <c r="DX47" s="41"/>
      <c r="DY47" s="41"/>
      <c r="DZ47" s="41"/>
      <c r="EA47" s="41"/>
      <c r="EB47" s="41"/>
      <c r="EC47" s="41"/>
      <c r="ED47" s="41"/>
      <c r="EE47" s="41"/>
      <c r="EF47" s="41"/>
      <c r="EG47" s="41"/>
      <c r="EH47" s="41"/>
      <c r="EI47" s="41"/>
      <c r="EJ47" s="41"/>
      <c r="EK47" s="41"/>
      <c r="EL47" s="41"/>
      <c r="EM47" s="41"/>
      <c r="EN47" s="41"/>
      <c r="EO47" s="41"/>
    </row>
    <row r="48" ht="15" customHeight="1" spans="1:145">
      <c r="A48" s="20"/>
      <c r="B48" s="12" t="s">
        <v>119</v>
      </c>
      <c r="C48" s="18"/>
      <c r="D48" s="48" t="s">
        <v>74</v>
      </c>
      <c r="E48" s="17">
        <v>100</v>
      </c>
      <c r="F48" s="17" t="s">
        <v>115</v>
      </c>
      <c r="G48" s="17">
        <v>250</v>
      </c>
      <c r="H48" s="15">
        <v>1.5</v>
      </c>
      <c r="I48" s="15">
        <v>0</v>
      </c>
      <c r="J48" s="15">
        <v>0.05</v>
      </c>
      <c r="K48" s="15">
        <v>0</v>
      </c>
      <c r="L48" s="15">
        <v>0</v>
      </c>
      <c r="M48" s="15">
        <f t="shared" si="9"/>
        <v>1.55</v>
      </c>
      <c r="N48" s="33">
        <f t="shared" si="10"/>
        <v>1.6</v>
      </c>
      <c r="O48" s="67">
        <f t="shared" si="12"/>
        <v>6.2</v>
      </c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70"/>
      <c r="BK48" s="70"/>
      <c r="BL48" s="70"/>
      <c r="BM48" s="70"/>
      <c r="BN48" s="70"/>
      <c r="BO48" s="70"/>
      <c r="BP48" s="70"/>
      <c r="BQ48" s="70"/>
      <c r="BR48" s="70"/>
      <c r="BS48" s="70"/>
      <c r="BT48" s="70"/>
      <c r="BU48" s="70"/>
      <c r="BV48" s="70"/>
      <c r="BW48" s="70"/>
      <c r="BX48" s="70"/>
      <c r="BY48" s="70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41"/>
      <c r="CU48" s="41"/>
      <c r="CV48" s="41"/>
      <c r="CW48" s="41"/>
      <c r="CX48" s="41"/>
      <c r="CY48" s="41"/>
      <c r="CZ48" s="41"/>
      <c r="DA48" s="41"/>
      <c r="DB48" s="41"/>
      <c r="DC48" s="36"/>
      <c r="DD48" s="41"/>
      <c r="DE48" s="41"/>
      <c r="DF48" s="41"/>
      <c r="DG48" s="41"/>
      <c r="DH48" s="41"/>
      <c r="DI48" s="41"/>
      <c r="DJ48" s="41"/>
      <c r="DK48" s="41"/>
      <c r="DL48" s="41"/>
      <c r="DM48" s="41"/>
      <c r="DN48" s="41"/>
      <c r="DO48" s="41"/>
      <c r="DP48" s="41"/>
      <c r="DQ48" s="41"/>
      <c r="DR48" s="41"/>
      <c r="DS48" s="41"/>
      <c r="DT48" s="41"/>
      <c r="DU48" s="41"/>
      <c r="DV48" s="41"/>
      <c r="DW48" s="41"/>
      <c r="DX48" s="41"/>
      <c r="DY48" s="41"/>
      <c r="DZ48" s="41"/>
      <c r="EA48" s="41"/>
      <c r="EB48" s="41"/>
      <c r="EC48" s="41"/>
      <c r="ED48" s="41"/>
      <c r="EE48" s="41"/>
      <c r="EF48" s="41"/>
      <c r="EG48" s="41"/>
      <c r="EH48" s="41"/>
      <c r="EI48" s="41"/>
      <c r="EJ48" s="41"/>
      <c r="EK48" s="41"/>
      <c r="EL48" s="41"/>
      <c r="EM48" s="41"/>
      <c r="EN48" s="41"/>
      <c r="EO48" s="41"/>
    </row>
    <row r="49" spans="98:107">
      <c r="CT49" s="42"/>
      <c r="CU49" s="42"/>
      <c r="CV49" s="42"/>
      <c r="CW49" s="42"/>
      <c r="CX49" s="42"/>
      <c r="CY49" s="42"/>
      <c r="CZ49" s="42"/>
      <c r="DA49" s="42"/>
      <c r="DB49" s="42"/>
      <c r="DC49" s="42"/>
    </row>
    <row r="51" s="2" customFormat="1" ht="23" customHeight="1" spans="1:95">
      <c r="A51" s="57" t="s">
        <v>120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</row>
    <row r="52" s="2" customFormat="1" ht="12" customHeight="1" spans="1:5">
      <c r="A52" s="22"/>
      <c r="B52" s="22"/>
      <c r="C52" s="23"/>
      <c r="D52" s="22"/>
      <c r="E52" s="22"/>
    </row>
    <row r="53" s="2" customFormat="1" ht="23" customHeight="1" spans="1:50">
      <c r="A53" s="24"/>
      <c r="B53" s="25" t="s">
        <v>121</v>
      </c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</row>
    <row r="54" s="2" customFormat="1" ht="23" customHeight="1" spans="1:50">
      <c r="A54" s="24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</row>
    <row r="55" s="2" customFormat="1" ht="23" customHeight="1" spans="1:50">
      <c r="A55" s="24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</row>
    <row r="56" s="2" customFormat="1" ht="23" customHeight="1" spans="1:50">
      <c r="A56" s="24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</row>
    <row r="57" s="2" customFormat="1" ht="23" customHeight="1" spans="1:50">
      <c r="A57" s="24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</row>
  </sheetData>
  <mergeCells count="10">
    <mergeCell ref="A1:O1"/>
    <mergeCell ref="A51:CQ51"/>
    <mergeCell ref="A3:A4"/>
    <mergeCell ref="A5:A6"/>
    <mergeCell ref="A7:A10"/>
    <mergeCell ref="A11:A19"/>
    <mergeCell ref="A20:A25"/>
    <mergeCell ref="A26:A41"/>
    <mergeCell ref="A42:A48"/>
    <mergeCell ref="B53:V57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O29"/>
  <sheetViews>
    <sheetView zoomScale="85" zoomScaleNormal="85" workbookViewId="0">
      <selection activeCell="A5" sqref="A1:DA21"/>
    </sheetView>
  </sheetViews>
  <sheetFormatPr defaultColWidth="8.83333333333333" defaultRowHeight="13.2"/>
  <cols>
    <col min="1" max="1" width="12.3583333333333" style="1" customWidth="1"/>
    <col min="2" max="2" width="19.7" style="1" customWidth="1"/>
    <col min="3" max="3" width="9.26666666666667" style="1" customWidth="1"/>
    <col min="4" max="4" width="12.1833333333333" style="3" customWidth="1"/>
    <col min="5" max="5" width="8.55" style="3" customWidth="1"/>
    <col min="6" max="6" width="8.44166666666667" style="3" customWidth="1"/>
    <col min="7" max="7" width="7.21666666666667" style="3" customWidth="1"/>
    <col min="8" max="8" width="9" style="4" customWidth="1"/>
    <col min="9" max="9" width="6.89166666666667" style="3" customWidth="1"/>
    <col min="10" max="10" width="9" style="3" customWidth="1"/>
    <col min="11" max="11" width="9.66666666666667" style="3" customWidth="1"/>
    <col min="12" max="12" width="7.325" style="3" customWidth="1"/>
    <col min="13" max="13" width="9" style="4" customWidth="1"/>
    <col min="14" max="14" width="8.375" style="5" customWidth="1"/>
    <col min="15" max="15" width="8.625" style="3" customWidth="1"/>
    <col min="16" max="141" width="2.74166666666667" style="1" customWidth="1"/>
    <col min="142" max="145" width="2.14166666666667" style="1" customWidth="1"/>
    <col min="146" max="16384" width="8.83333333333333" style="1"/>
  </cols>
  <sheetData>
    <row r="1" s="1" customFormat="1" ht="40" customHeight="1" spans="1:145">
      <c r="A1" s="6" t="s">
        <v>122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44"/>
    </row>
    <row r="2" s="1" customFormat="1" ht="79.2" spans="1:145">
      <c r="A2" s="7" t="s">
        <v>43</v>
      </c>
      <c r="B2" s="7" t="s">
        <v>44</v>
      </c>
      <c r="C2" s="7" t="s">
        <v>44</v>
      </c>
      <c r="D2" s="8" t="s">
        <v>45</v>
      </c>
      <c r="E2" s="9" t="s">
        <v>46</v>
      </c>
      <c r="F2" s="9" t="s">
        <v>47</v>
      </c>
      <c r="G2" s="9" t="s">
        <v>48</v>
      </c>
      <c r="H2" s="10" t="s">
        <v>49</v>
      </c>
      <c r="I2" s="9" t="s">
        <v>50</v>
      </c>
      <c r="J2" s="9" t="s">
        <v>51</v>
      </c>
      <c r="K2" s="9" t="s">
        <v>52</v>
      </c>
      <c r="L2" s="9" t="s">
        <v>53</v>
      </c>
      <c r="M2" s="28" t="s">
        <v>54</v>
      </c>
      <c r="N2" s="29" t="s">
        <v>55</v>
      </c>
      <c r="O2" s="30" t="s">
        <v>56</v>
      </c>
      <c r="P2" s="31">
        <v>0.1</v>
      </c>
      <c r="Q2" s="31">
        <v>0.2</v>
      </c>
      <c r="R2" s="31">
        <v>0.3</v>
      </c>
      <c r="S2" s="31">
        <v>0.4</v>
      </c>
      <c r="T2" s="31">
        <v>0.5</v>
      </c>
      <c r="U2" s="31">
        <v>0.6</v>
      </c>
      <c r="V2" s="31">
        <v>0.7</v>
      </c>
      <c r="W2" s="31">
        <v>0.8</v>
      </c>
      <c r="X2" s="31">
        <v>0.9</v>
      </c>
      <c r="Y2" s="31">
        <v>1</v>
      </c>
      <c r="Z2" s="31">
        <v>1.1</v>
      </c>
      <c r="AA2" s="31">
        <v>1.2</v>
      </c>
      <c r="AB2" s="31">
        <v>1.3</v>
      </c>
      <c r="AC2" s="31">
        <v>1.4</v>
      </c>
      <c r="AD2" s="31">
        <v>1.5</v>
      </c>
      <c r="AE2" s="31">
        <v>1.6</v>
      </c>
      <c r="AF2" s="31">
        <v>1.7</v>
      </c>
      <c r="AG2" s="31">
        <v>1.8</v>
      </c>
      <c r="AH2" s="31">
        <v>1.9</v>
      </c>
      <c r="AI2" s="31">
        <v>2</v>
      </c>
      <c r="AJ2" s="31">
        <v>2.1</v>
      </c>
      <c r="AK2" s="31">
        <v>2.2</v>
      </c>
      <c r="AL2" s="31">
        <v>2.3</v>
      </c>
      <c r="AM2" s="31">
        <v>2.4</v>
      </c>
      <c r="AN2" s="31">
        <v>2.5</v>
      </c>
      <c r="AO2" s="31">
        <v>2.6</v>
      </c>
      <c r="AP2" s="31">
        <v>2.7</v>
      </c>
      <c r="AQ2" s="31">
        <v>2.8</v>
      </c>
      <c r="AR2" s="31">
        <v>2.9</v>
      </c>
      <c r="AS2" s="31">
        <v>3</v>
      </c>
      <c r="AT2" s="31">
        <v>3.1</v>
      </c>
      <c r="AU2" s="31">
        <v>3.2</v>
      </c>
      <c r="AV2" s="31">
        <v>3.3</v>
      </c>
      <c r="AW2" s="31">
        <v>3.4</v>
      </c>
      <c r="AX2" s="31">
        <v>3.5</v>
      </c>
      <c r="AY2" s="31">
        <v>3.6</v>
      </c>
      <c r="AZ2" s="31">
        <v>3.7</v>
      </c>
      <c r="BA2" s="31">
        <v>3.8</v>
      </c>
      <c r="BB2" s="31">
        <v>3.9</v>
      </c>
      <c r="BC2" s="31">
        <v>4</v>
      </c>
      <c r="BD2" s="31">
        <v>4.1</v>
      </c>
      <c r="BE2" s="31">
        <v>4.2</v>
      </c>
      <c r="BF2" s="31">
        <v>4.3</v>
      </c>
      <c r="BG2" s="31">
        <v>4.4</v>
      </c>
      <c r="BH2" s="31">
        <v>4.5</v>
      </c>
      <c r="BI2" s="31">
        <v>4.6</v>
      </c>
      <c r="BJ2" s="31">
        <v>4.7</v>
      </c>
      <c r="BK2" s="31">
        <v>4.8</v>
      </c>
      <c r="BL2" s="31">
        <v>4.9</v>
      </c>
      <c r="BM2" s="31">
        <v>5</v>
      </c>
      <c r="BN2" s="31">
        <v>5.1</v>
      </c>
      <c r="BO2" s="31">
        <v>5.2</v>
      </c>
      <c r="BP2" s="31">
        <v>5.3</v>
      </c>
      <c r="BQ2" s="31">
        <v>5.4</v>
      </c>
      <c r="BR2" s="31">
        <v>5.49999999999999</v>
      </c>
      <c r="BS2" s="31">
        <v>5.59999999999999</v>
      </c>
      <c r="BT2" s="31">
        <v>5.7</v>
      </c>
      <c r="BU2" s="31">
        <v>5.8</v>
      </c>
      <c r="BV2" s="31">
        <v>5.9</v>
      </c>
      <c r="BW2" s="31">
        <v>6</v>
      </c>
      <c r="BX2" s="31">
        <v>6.10000000000001</v>
      </c>
      <c r="BY2" s="31">
        <v>6.20000000000001</v>
      </c>
      <c r="BZ2" s="31">
        <v>6.30000000000001</v>
      </c>
      <c r="CA2" s="31">
        <v>6.40000000000001</v>
      </c>
      <c r="CB2" s="31">
        <v>6.50000000000001</v>
      </c>
      <c r="CC2" s="31">
        <v>6.60000000000001</v>
      </c>
      <c r="CD2" s="31">
        <v>6.70000000000001</v>
      </c>
      <c r="CE2" s="31">
        <v>6.80000000000001</v>
      </c>
      <c r="CF2" s="31">
        <v>6.90000000000001</v>
      </c>
      <c r="CG2" s="31">
        <v>7.00000000000001</v>
      </c>
      <c r="CH2" s="31">
        <v>7.10000000000001</v>
      </c>
      <c r="CI2" s="31">
        <v>7.2</v>
      </c>
      <c r="CJ2" s="31">
        <v>7.3</v>
      </c>
      <c r="CK2" s="31">
        <v>7.4</v>
      </c>
      <c r="CL2" s="31">
        <v>7.5</v>
      </c>
      <c r="CM2" s="31">
        <v>7.6</v>
      </c>
      <c r="CN2" s="31">
        <v>7.7</v>
      </c>
      <c r="CO2" s="31">
        <v>7.8</v>
      </c>
      <c r="CP2" s="31">
        <v>7.89999999999999</v>
      </c>
      <c r="CQ2" s="31">
        <v>7.99999999999999</v>
      </c>
      <c r="CR2" s="31">
        <v>8.09999999999999</v>
      </c>
      <c r="CS2" s="31">
        <v>8.19999999999999</v>
      </c>
      <c r="CT2" s="31">
        <v>8.29999999999999</v>
      </c>
      <c r="CU2" s="31">
        <v>8.39999999999999</v>
      </c>
      <c r="CV2" s="31">
        <v>8.49999999999999</v>
      </c>
      <c r="CW2" s="31">
        <v>8.59999999999998</v>
      </c>
      <c r="CX2" s="31">
        <v>8.69999999999998</v>
      </c>
      <c r="CY2" s="31">
        <v>8.79999999999998</v>
      </c>
      <c r="CZ2" s="31">
        <v>8.89999999999998</v>
      </c>
      <c r="DA2" s="31">
        <v>8.99999999999998</v>
      </c>
      <c r="DB2" s="31">
        <v>9.09999999999998</v>
      </c>
      <c r="DC2" s="31">
        <v>9.19999999999997</v>
      </c>
      <c r="DD2" s="31">
        <v>9.29999999999997</v>
      </c>
      <c r="DE2" s="31">
        <v>9.39999999999997</v>
      </c>
      <c r="DF2" s="31">
        <v>9.49999999999997</v>
      </c>
      <c r="DG2" s="31">
        <v>9.59999999999997</v>
      </c>
      <c r="DH2" s="31">
        <v>9.69999999999997</v>
      </c>
      <c r="DI2" s="31">
        <v>9.79999999999997</v>
      </c>
      <c r="DJ2" s="31">
        <v>9.89999999999996</v>
      </c>
      <c r="DK2" s="31">
        <v>9.99999999999996</v>
      </c>
      <c r="DL2" s="31">
        <v>10.1</v>
      </c>
      <c r="DM2" s="31">
        <v>10.2</v>
      </c>
      <c r="DN2" s="31">
        <v>10.3</v>
      </c>
      <c r="DO2" s="31">
        <v>10.4</v>
      </c>
      <c r="DP2" s="31">
        <v>10.5</v>
      </c>
      <c r="DQ2" s="31">
        <v>10.6</v>
      </c>
      <c r="DR2" s="31">
        <v>10.7</v>
      </c>
      <c r="DS2" s="31">
        <v>10.8</v>
      </c>
      <c r="DT2" s="31">
        <v>10.8999999999999</v>
      </c>
      <c r="DU2" s="31">
        <v>10.9999999999999</v>
      </c>
      <c r="DV2" s="31">
        <v>11.0999999999999</v>
      </c>
      <c r="DW2" s="31">
        <v>11.1999999999999</v>
      </c>
      <c r="DX2" s="31">
        <v>11.2999999999999</v>
      </c>
      <c r="DY2" s="31">
        <v>11.3999999999999</v>
      </c>
      <c r="DZ2" s="31">
        <v>11.4999999999999</v>
      </c>
      <c r="EA2" s="31">
        <v>11.5999999999999</v>
      </c>
      <c r="EB2" s="31">
        <v>11.6999999999999</v>
      </c>
      <c r="EC2" s="31">
        <v>11.7999999999999</v>
      </c>
      <c r="ED2" s="31">
        <v>11.8999999999999</v>
      </c>
      <c r="EE2" s="31">
        <v>11.9999999999999</v>
      </c>
      <c r="EF2" s="31">
        <v>12.0999999999999</v>
      </c>
      <c r="EG2" s="31">
        <v>12.1999999999999</v>
      </c>
      <c r="EH2" s="31">
        <v>12.2999999999999</v>
      </c>
      <c r="EI2" s="31">
        <v>12.3999999999999</v>
      </c>
      <c r="EJ2" s="31">
        <v>12.4999999999999</v>
      </c>
      <c r="EK2" s="31">
        <v>12.5999999999999</v>
      </c>
      <c r="EL2" s="31">
        <v>12.6999999999999</v>
      </c>
      <c r="EM2" s="31">
        <v>12.7999999999999</v>
      </c>
      <c r="EN2" s="31">
        <v>12.8999999999999</v>
      </c>
      <c r="EO2" s="31">
        <v>12.9999999999999</v>
      </c>
    </row>
    <row r="3" s="1" customFormat="1" ht="15" customHeight="1" spans="1:145">
      <c r="A3" s="11" t="s">
        <v>123</v>
      </c>
      <c r="B3" s="12" t="s">
        <v>124</v>
      </c>
      <c r="C3" s="13"/>
      <c r="D3" s="14" t="s">
        <v>71</v>
      </c>
      <c r="E3" s="14">
        <v>700</v>
      </c>
      <c r="F3" s="14" t="s">
        <v>125</v>
      </c>
      <c r="G3" s="14">
        <v>1500</v>
      </c>
      <c r="H3" s="15">
        <f t="shared" ref="H3:H6" si="0">E3/G3</f>
        <v>0.466666666666667</v>
      </c>
      <c r="I3" s="32">
        <v>0.28</v>
      </c>
      <c r="J3" s="15">
        <v>0.05</v>
      </c>
      <c r="K3" s="15">
        <v>0</v>
      </c>
      <c r="L3" s="15">
        <v>0</v>
      </c>
      <c r="M3" s="15">
        <f t="shared" ref="M3:M21" si="1">SUM(H3:L3)</f>
        <v>0.796666666666667</v>
      </c>
      <c r="N3" s="33">
        <f t="shared" ref="N3:N21" si="2">ROUNDUP(M3,1)</f>
        <v>0.8</v>
      </c>
      <c r="O3" s="34">
        <f>N3</f>
        <v>0.8</v>
      </c>
      <c r="P3" s="35"/>
      <c r="Q3" s="35"/>
      <c r="R3" s="35"/>
      <c r="S3" s="35"/>
      <c r="T3" s="35"/>
      <c r="U3" s="35"/>
      <c r="V3" s="35"/>
      <c r="W3" s="35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41"/>
      <c r="CU3" s="41"/>
      <c r="CV3" s="41"/>
      <c r="CW3" s="41"/>
      <c r="CX3" s="41"/>
      <c r="CY3" s="41"/>
      <c r="CZ3" s="41"/>
      <c r="DA3" s="41"/>
      <c r="DB3" s="41"/>
      <c r="DC3" s="36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</row>
    <row r="4" s="1" customFormat="1" ht="15" customHeight="1" spans="1:145">
      <c r="A4" s="16"/>
      <c r="B4" s="12" t="s">
        <v>126</v>
      </c>
      <c r="C4" s="13"/>
      <c r="D4" s="14" t="s">
        <v>127</v>
      </c>
      <c r="E4" s="17">
        <v>100</v>
      </c>
      <c r="F4" s="17" t="s">
        <v>60</v>
      </c>
      <c r="G4" s="17">
        <v>400</v>
      </c>
      <c r="H4" s="15">
        <f t="shared" si="0"/>
        <v>0.25</v>
      </c>
      <c r="I4" s="17">
        <v>0.1</v>
      </c>
      <c r="J4" s="15">
        <v>0.05</v>
      </c>
      <c r="K4" s="15">
        <v>0</v>
      </c>
      <c r="L4" s="15">
        <v>0</v>
      </c>
      <c r="M4" s="15">
        <f t="shared" si="1"/>
        <v>0.4</v>
      </c>
      <c r="N4" s="33">
        <f t="shared" si="2"/>
        <v>0.4</v>
      </c>
      <c r="O4" s="34">
        <f t="shared" ref="O4:O21" si="3">O3+N4</f>
        <v>1.2</v>
      </c>
      <c r="P4" s="36"/>
      <c r="Q4" s="36"/>
      <c r="R4" s="36"/>
      <c r="X4" s="35"/>
      <c r="Y4" s="35"/>
      <c r="Z4" s="35"/>
      <c r="AA4" s="35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41"/>
      <c r="CU4" s="41"/>
      <c r="CV4" s="41"/>
      <c r="CW4" s="41"/>
      <c r="CX4" s="41"/>
      <c r="CY4" s="41"/>
      <c r="CZ4" s="41"/>
      <c r="DA4" s="41"/>
      <c r="DB4" s="41"/>
      <c r="DC4" s="36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</row>
    <row r="5" s="1" customFormat="1" ht="15" customHeight="1" spans="1:145">
      <c r="A5" s="11" t="s">
        <v>128</v>
      </c>
      <c r="B5" s="12" t="s">
        <v>129</v>
      </c>
      <c r="C5" s="18"/>
      <c r="D5" s="14" t="s">
        <v>71</v>
      </c>
      <c r="E5" s="14">
        <v>1000</v>
      </c>
      <c r="F5" s="14" t="s">
        <v>125</v>
      </c>
      <c r="G5" s="14">
        <v>1500</v>
      </c>
      <c r="H5" s="15">
        <f t="shared" si="0"/>
        <v>0.666666666666667</v>
      </c>
      <c r="I5" s="32">
        <v>0.3</v>
      </c>
      <c r="J5" s="15">
        <v>0.05</v>
      </c>
      <c r="K5" s="15">
        <v>0</v>
      </c>
      <c r="L5" s="15">
        <v>0</v>
      </c>
      <c r="M5" s="15">
        <f t="shared" si="1"/>
        <v>1.01666666666667</v>
      </c>
      <c r="N5" s="33">
        <f t="shared" si="2"/>
        <v>1.1</v>
      </c>
      <c r="O5" s="34">
        <f>N5</f>
        <v>1.1</v>
      </c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8"/>
      <c r="BX5" s="38"/>
      <c r="BY5" s="36"/>
      <c r="BZ5" s="36"/>
      <c r="CA5" s="36"/>
      <c r="CB5" s="36"/>
      <c r="CC5" s="36"/>
      <c r="CD5" s="36"/>
      <c r="CE5" s="36"/>
      <c r="CF5" s="36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</row>
    <row r="6" s="1" customFormat="1" ht="15" customHeight="1" spans="1:145">
      <c r="A6" s="16"/>
      <c r="B6" s="12" t="s">
        <v>130</v>
      </c>
      <c r="C6" s="18"/>
      <c r="D6" s="19" t="s">
        <v>117</v>
      </c>
      <c r="E6" s="14">
        <v>100</v>
      </c>
      <c r="F6" s="14" t="s">
        <v>66</v>
      </c>
      <c r="G6" s="14">
        <v>500</v>
      </c>
      <c r="H6" s="15">
        <f t="shared" si="0"/>
        <v>0.2</v>
      </c>
      <c r="I6" s="32">
        <v>0.15</v>
      </c>
      <c r="J6" s="32">
        <v>0.05</v>
      </c>
      <c r="K6" s="15">
        <v>0</v>
      </c>
      <c r="L6" s="15">
        <v>0</v>
      </c>
      <c r="M6" s="15">
        <f t="shared" si="1"/>
        <v>0.4</v>
      </c>
      <c r="N6" s="33">
        <f t="shared" si="2"/>
        <v>0.4</v>
      </c>
      <c r="O6" s="34">
        <f t="shared" si="3"/>
        <v>1.5</v>
      </c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7"/>
      <c r="AB6" s="37"/>
      <c r="AC6" s="37"/>
      <c r="AD6" s="37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8"/>
      <c r="BX6" s="38"/>
      <c r="BY6" s="36"/>
      <c r="BZ6" s="36"/>
      <c r="CA6" s="36"/>
      <c r="CB6" s="36"/>
      <c r="CC6" s="36"/>
      <c r="CD6" s="36"/>
      <c r="CE6" s="36"/>
      <c r="CF6" s="36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</row>
    <row r="7" s="1" customFormat="1" ht="15" customHeight="1" spans="1:145">
      <c r="A7" s="16"/>
      <c r="B7" s="12" t="s">
        <v>131</v>
      </c>
      <c r="C7" s="18"/>
      <c r="D7" s="14" t="s">
        <v>82</v>
      </c>
      <c r="E7" s="14" t="s">
        <v>69</v>
      </c>
      <c r="F7" s="14" t="s">
        <v>69</v>
      </c>
      <c r="G7" s="14" t="s">
        <v>69</v>
      </c>
      <c r="H7" s="15">
        <v>0.3</v>
      </c>
      <c r="I7" s="32">
        <v>0</v>
      </c>
      <c r="J7" s="32">
        <v>0.05</v>
      </c>
      <c r="K7" s="32">
        <v>0</v>
      </c>
      <c r="L7" s="32">
        <v>0.07</v>
      </c>
      <c r="M7" s="15">
        <f t="shared" si="1"/>
        <v>0.42</v>
      </c>
      <c r="N7" s="33">
        <f t="shared" si="2"/>
        <v>0.5</v>
      </c>
      <c r="O7" s="34">
        <f t="shared" si="3"/>
        <v>2</v>
      </c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7"/>
      <c r="AF7" s="37"/>
      <c r="AG7" s="37"/>
      <c r="AH7" s="37"/>
      <c r="AI7" s="37"/>
      <c r="AJ7" s="38"/>
      <c r="AK7" s="38"/>
      <c r="AL7" s="38"/>
      <c r="AM7" s="38"/>
      <c r="AN7" s="38"/>
      <c r="AO7" s="38"/>
      <c r="AP7" s="38"/>
      <c r="AQ7" s="38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8"/>
      <c r="BX7" s="38"/>
      <c r="BY7" s="36"/>
      <c r="BZ7" s="36"/>
      <c r="CA7" s="36"/>
      <c r="CB7" s="36"/>
      <c r="CC7" s="36"/>
      <c r="CD7" s="36"/>
      <c r="CE7" s="36"/>
      <c r="CF7" s="36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</row>
    <row r="8" s="1" customFormat="1" ht="15" customHeight="1" spans="1:145">
      <c r="A8" s="16"/>
      <c r="B8" s="12" t="s">
        <v>132</v>
      </c>
      <c r="C8" s="18"/>
      <c r="D8" s="19" t="s">
        <v>117</v>
      </c>
      <c r="E8" s="14">
        <v>100</v>
      </c>
      <c r="F8" s="14" t="s">
        <v>66</v>
      </c>
      <c r="G8" s="14">
        <v>500</v>
      </c>
      <c r="H8" s="15">
        <f>E8/G8</f>
        <v>0.2</v>
      </c>
      <c r="I8" s="32">
        <v>0.15</v>
      </c>
      <c r="J8" s="32">
        <v>0.05</v>
      </c>
      <c r="K8" s="15">
        <v>0</v>
      </c>
      <c r="L8" s="15">
        <v>0</v>
      </c>
      <c r="M8" s="15">
        <f t="shared" si="1"/>
        <v>0.4</v>
      </c>
      <c r="N8" s="33">
        <f t="shared" si="2"/>
        <v>0.4</v>
      </c>
      <c r="O8" s="34">
        <f t="shared" si="3"/>
        <v>2.4</v>
      </c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7"/>
      <c r="AK8" s="37"/>
      <c r="AL8" s="37"/>
      <c r="AM8" s="37"/>
      <c r="AN8" s="38"/>
      <c r="AO8" s="38"/>
      <c r="AP8" s="38"/>
      <c r="AQ8" s="38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8"/>
      <c r="BX8" s="38"/>
      <c r="BY8" s="36"/>
      <c r="BZ8" s="36"/>
      <c r="CA8" s="36"/>
      <c r="CB8" s="36"/>
      <c r="CC8" s="36"/>
      <c r="CD8" s="36"/>
      <c r="CE8" s="36"/>
      <c r="CF8" s="36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</row>
    <row r="9" s="1" customFormat="1" ht="15" customHeight="1" spans="1:145">
      <c r="A9" s="16"/>
      <c r="B9" s="12" t="s">
        <v>133</v>
      </c>
      <c r="C9" s="18"/>
      <c r="D9" s="14" t="s">
        <v>71</v>
      </c>
      <c r="E9" s="14">
        <v>50</v>
      </c>
      <c r="F9" s="14" t="s">
        <v>125</v>
      </c>
      <c r="G9" s="14">
        <v>1500</v>
      </c>
      <c r="H9" s="15">
        <f t="shared" ref="H8:H10" si="4">E9/G9</f>
        <v>0.0333333333333333</v>
      </c>
      <c r="I9" s="32">
        <v>0.3</v>
      </c>
      <c r="J9" s="15">
        <v>0.05</v>
      </c>
      <c r="K9" s="15">
        <v>0</v>
      </c>
      <c r="L9" s="15">
        <v>0</v>
      </c>
      <c r="M9" s="15">
        <f t="shared" si="1"/>
        <v>0.383333333333333</v>
      </c>
      <c r="N9" s="33">
        <f t="shared" si="2"/>
        <v>0.4</v>
      </c>
      <c r="O9" s="34">
        <f t="shared" si="3"/>
        <v>2.8</v>
      </c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7"/>
      <c r="AO9" s="37"/>
      <c r="AP9" s="37"/>
      <c r="AQ9" s="37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8"/>
      <c r="BX9" s="38"/>
      <c r="BY9" s="36"/>
      <c r="BZ9" s="36"/>
      <c r="CA9" s="36"/>
      <c r="CB9" s="36"/>
      <c r="CC9" s="36"/>
      <c r="CD9" s="36"/>
      <c r="CE9" s="36"/>
      <c r="CF9" s="36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</row>
    <row r="10" s="1" customFormat="1" ht="15" customHeight="1" spans="1:145">
      <c r="A10" s="16"/>
      <c r="B10" s="12" t="s">
        <v>130</v>
      </c>
      <c r="C10" s="18"/>
      <c r="D10" s="19" t="s">
        <v>117</v>
      </c>
      <c r="E10" s="14">
        <v>100</v>
      </c>
      <c r="F10" s="14" t="s">
        <v>66</v>
      </c>
      <c r="G10" s="14">
        <v>500</v>
      </c>
      <c r="H10" s="15">
        <f t="shared" si="4"/>
        <v>0.2</v>
      </c>
      <c r="I10" s="32">
        <v>0.15</v>
      </c>
      <c r="J10" s="32">
        <v>0.05</v>
      </c>
      <c r="K10" s="15">
        <v>0</v>
      </c>
      <c r="L10" s="15">
        <v>0</v>
      </c>
      <c r="M10" s="15">
        <f t="shared" si="1"/>
        <v>0.4</v>
      </c>
      <c r="N10" s="33">
        <f t="shared" si="2"/>
        <v>0.4</v>
      </c>
      <c r="O10" s="34">
        <f t="shared" si="3"/>
        <v>3.2</v>
      </c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40"/>
      <c r="AS10" s="40"/>
      <c r="AT10" s="40"/>
      <c r="AU10" s="40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8"/>
      <c r="BX10" s="38"/>
      <c r="BY10" s="36"/>
      <c r="BZ10" s="36"/>
      <c r="CA10" s="36"/>
      <c r="CB10" s="36"/>
      <c r="CC10" s="36"/>
      <c r="CD10" s="36"/>
      <c r="CE10" s="36"/>
      <c r="CF10" s="36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  <c r="EK10" s="43"/>
      <c r="EL10" s="43"/>
      <c r="EM10" s="43"/>
      <c r="EN10" s="43"/>
      <c r="EO10" s="43"/>
    </row>
    <row r="11" s="1" customFormat="1" ht="15" customHeight="1" spans="1:145">
      <c r="A11" s="16"/>
      <c r="B11" s="12" t="s">
        <v>131</v>
      </c>
      <c r="C11" s="18"/>
      <c r="D11" s="14" t="s">
        <v>82</v>
      </c>
      <c r="E11" s="14" t="s">
        <v>69</v>
      </c>
      <c r="F11" s="14" t="s">
        <v>69</v>
      </c>
      <c r="G11" s="14" t="s">
        <v>69</v>
      </c>
      <c r="H11" s="15">
        <v>0.3</v>
      </c>
      <c r="I11" s="32">
        <v>0</v>
      </c>
      <c r="J11" s="32">
        <v>0.05</v>
      </c>
      <c r="K11" s="32">
        <v>0</v>
      </c>
      <c r="L11" s="32">
        <v>0.07</v>
      </c>
      <c r="M11" s="15">
        <f t="shared" si="1"/>
        <v>0.42</v>
      </c>
      <c r="N11" s="33">
        <f t="shared" si="2"/>
        <v>0.5</v>
      </c>
      <c r="O11" s="34">
        <f t="shared" si="3"/>
        <v>3.7</v>
      </c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6"/>
      <c r="AS11" s="36"/>
      <c r="AT11" s="36"/>
      <c r="AU11" s="36"/>
      <c r="AV11" s="40"/>
      <c r="AW11" s="40"/>
      <c r="AX11" s="40"/>
      <c r="AY11" s="40"/>
      <c r="AZ11" s="40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8"/>
      <c r="BX11" s="38"/>
      <c r="BY11" s="36"/>
      <c r="BZ11" s="36"/>
      <c r="CA11" s="36"/>
      <c r="CB11" s="36"/>
      <c r="CC11" s="36"/>
      <c r="CD11" s="36"/>
      <c r="CE11" s="36"/>
      <c r="CF11" s="36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</row>
    <row r="12" s="1" customFormat="1" ht="15" customHeight="1" spans="1:145">
      <c r="A12" s="16"/>
      <c r="B12" s="12" t="s">
        <v>132</v>
      </c>
      <c r="C12" s="18"/>
      <c r="D12" s="19" t="s">
        <v>117</v>
      </c>
      <c r="E12" s="14">
        <v>100</v>
      </c>
      <c r="F12" s="14" t="s">
        <v>66</v>
      </c>
      <c r="G12" s="14">
        <v>500</v>
      </c>
      <c r="H12" s="15">
        <f t="shared" ref="H12:H14" si="5">E12/G12</f>
        <v>0.2</v>
      </c>
      <c r="I12" s="32">
        <v>0.15</v>
      </c>
      <c r="J12" s="32">
        <v>0.05</v>
      </c>
      <c r="K12" s="15">
        <v>0</v>
      </c>
      <c r="L12" s="15">
        <v>0</v>
      </c>
      <c r="M12" s="15">
        <f t="shared" si="1"/>
        <v>0.4</v>
      </c>
      <c r="N12" s="33">
        <f t="shared" si="2"/>
        <v>0.4</v>
      </c>
      <c r="O12" s="34">
        <f t="shared" si="3"/>
        <v>4.1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6"/>
      <c r="AS12" s="36"/>
      <c r="AT12" s="36"/>
      <c r="AU12" s="36"/>
      <c r="AV12" s="36"/>
      <c r="AW12" s="36"/>
      <c r="AX12" s="36"/>
      <c r="AY12" s="36"/>
      <c r="AZ12" s="36"/>
      <c r="BA12" s="40"/>
      <c r="BB12" s="40"/>
      <c r="BC12" s="40"/>
      <c r="BD12" s="40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8"/>
      <c r="BX12" s="38"/>
      <c r="BY12" s="36"/>
      <c r="BZ12" s="36"/>
      <c r="CA12" s="36"/>
      <c r="CB12" s="36"/>
      <c r="CC12" s="36"/>
      <c r="CD12" s="36"/>
      <c r="CE12" s="36"/>
      <c r="CF12" s="36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</row>
    <row r="13" s="1" customFormat="1" ht="15" customHeight="1" spans="1:145">
      <c r="A13" s="16"/>
      <c r="B13" s="12" t="s">
        <v>134</v>
      </c>
      <c r="C13" s="18"/>
      <c r="D13" s="14" t="s">
        <v>71</v>
      </c>
      <c r="E13" s="14">
        <v>1000</v>
      </c>
      <c r="F13" s="14" t="s">
        <v>125</v>
      </c>
      <c r="G13" s="14">
        <v>1500</v>
      </c>
      <c r="H13" s="15">
        <f t="shared" si="5"/>
        <v>0.666666666666667</v>
      </c>
      <c r="I13" s="32">
        <v>0.3</v>
      </c>
      <c r="J13" s="15">
        <v>0.05</v>
      </c>
      <c r="K13" s="15">
        <v>0</v>
      </c>
      <c r="L13" s="15">
        <v>0</v>
      </c>
      <c r="M13" s="15">
        <f t="shared" si="1"/>
        <v>1.01666666666667</v>
      </c>
      <c r="N13" s="33">
        <f t="shared" si="2"/>
        <v>1.1</v>
      </c>
      <c r="O13" s="34">
        <f t="shared" si="3"/>
        <v>5.2</v>
      </c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36"/>
      <c r="BQ13" s="36"/>
      <c r="BR13" s="36"/>
      <c r="BS13" s="36"/>
      <c r="BT13" s="36"/>
      <c r="BU13" s="36"/>
      <c r="BV13" s="36"/>
      <c r="BW13" s="38"/>
      <c r="BX13" s="38"/>
      <c r="BY13" s="36"/>
      <c r="BZ13" s="36"/>
      <c r="CA13" s="36"/>
      <c r="CB13" s="36"/>
      <c r="CC13" s="36"/>
      <c r="CD13" s="36"/>
      <c r="CE13" s="36"/>
      <c r="CF13" s="36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</row>
    <row r="14" s="1" customFormat="1" ht="15" customHeight="1" spans="1:145">
      <c r="A14" s="16"/>
      <c r="B14" s="12" t="s">
        <v>130</v>
      </c>
      <c r="C14" s="18"/>
      <c r="D14" s="19" t="s">
        <v>117</v>
      </c>
      <c r="E14" s="14">
        <v>100</v>
      </c>
      <c r="F14" s="14" t="s">
        <v>66</v>
      </c>
      <c r="G14" s="14">
        <v>500</v>
      </c>
      <c r="H14" s="15">
        <f t="shared" si="5"/>
        <v>0.2</v>
      </c>
      <c r="I14" s="32">
        <v>0.15</v>
      </c>
      <c r="J14" s="32">
        <v>0.05</v>
      </c>
      <c r="K14" s="15">
        <v>0</v>
      </c>
      <c r="L14" s="15">
        <v>0</v>
      </c>
      <c r="M14" s="15">
        <f t="shared" si="1"/>
        <v>0.4</v>
      </c>
      <c r="N14" s="33">
        <f t="shared" si="2"/>
        <v>0.4</v>
      </c>
      <c r="O14" s="34">
        <f t="shared" si="3"/>
        <v>5.6</v>
      </c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40"/>
      <c r="BQ14" s="40"/>
      <c r="BR14" s="40"/>
      <c r="BS14" s="40"/>
      <c r="BT14" s="36"/>
      <c r="BU14" s="36"/>
      <c r="BV14" s="36"/>
      <c r="BW14" s="38"/>
      <c r="BX14" s="38"/>
      <c r="BY14" s="36"/>
      <c r="BZ14" s="36"/>
      <c r="CA14" s="36"/>
      <c r="CB14" s="36"/>
      <c r="CC14" s="36"/>
      <c r="CD14" s="36"/>
      <c r="CE14" s="36"/>
      <c r="CF14" s="36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</row>
    <row r="15" s="1" customFormat="1" ht="15" customHeight="1" spans="1:145">
      <c r="A15" s="16"/>
      <c r="B15" s="12" t="s">
        <v>131</v>
      </c>
      <c r="C15" s="18"/>
      <c r="D15" s="14" t="s">
        <v>82</v>
      </c>
      <c r="E15" s="14" t="s">
        <v>69</v>
      </c>
      <c r="F15" s="14" t="s">
        <v>69</v>
      </c>
      <c r="G15" s="14" t="s">
        <v>69</v>
      </c>
      <c r="H15" s="15">
        <v>0.3</v>
      </c>
      <c r="I15" s="32">
        <v>0</v>
      </c>
      <c r="J15" s="32">
        <v>0.05</v>
      </c>
      <c r="K15" s="32">
        <v>0</v>
      </c>
      <c r="L15" s="32">
        <v>0.07</v>
      </c>
      <c r="M15" s="15">
        <f t="shared" si="1"/>
        <v>0.42</v>
      </c>
      <c r="N15" s="33">
        <f t="shared" si="2"/>
        <v>0.5</v>
      </c>
      <c r="O15" s="34">
        <f t="shared" si="3"/>
        <v>6.1</v>
      </c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40"/>
      <c r="BU15" s="40"/>
      <c r="BV15" s="40"/>
      <c r="BW15" s="37"/>
      <c r="BX15" s="37"/>
      <c r="BY15" s="36"/>
      <c r="BZ15" s="36"/>
      <c r="CA15" s="36"/>
      <c r="CB15" s="36"/>
      <c r="CC15" s="36"/>
      <c r="CD15" s="36"/>
      <c r="CE15" s="36"/>
      <c r="CF15" s="36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</row>
    <row r="16" s="1" customFormat="1" ht="15" customHeight="1" spans="1:145">
      <c r="A16" s="16"/>
      <c r="B16" s="12" t="s">
        <v>132</v>
      </c>
      <c r="C16" s="18"/>
      <c r="D16" s="19" t="s">
        <v>117</v>
      </c>
      <c r="E16" s="14">
        <v>100</v>
      </c>
      <c r="F16" s="14" t="s">
        <v>66</v>
      </c>
      <c r="G16" s="14">
        <v>500</v>
      </c>
      <c r="H16" s="15">
        <f t="shared" ref="H16:H18" si="6">E16/G16</f>
        <v>0.2</v>
      </c>
      <c r="I16" s="32">
        <v>0.15</v>
      </c>
      <c r="J16" s="32">
        <v>0.05</v>
      </c>
      <c r="K16" s="15">
        <v>0</v>
      </c>
      <c r="L16" s="15">
        <v>0</v>
      </c>
      <c r="M16" s="15">
        <f t="shared" si="1"/>
        <v>0.4</v>
      </c>
      <c r="N16" s="33">
        <f t="shared" si="2"/>
        <v>0.4</v>
      </c>
      <c r="O16" s="34">
        <f t="shared" si="3"/>
        <v>6.5</v>
      </c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8"/>
      <c r="BX16" s="38"/>
      <c r="BY16" s="40"/>
      <c r="BZ16" s="40"/>
      <c r="CA16" s="40"/>
      <c r="CB16" s="40"/>
      <c r="CC16" s="36"/>
      <c r="CD16" s="36"/>
      <c r="CE16" s="36"/>
      <c r="CF16" s="36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</row>
    <row r="17" s="1" customFormat="1" ht="15" customHeight="1" spans="1:145">
      <c r="A17" s="16"/>
      <c r="B17" s="12" t="s">
        <v>133</v>
      </c>
      <c r="C17" s="18"/>
      <c r="D17" s="14" t="s">
        <v>71</v>
      </c>
      <c r="E17" s="14">
        <v>50</v>
      </c>
      <c r="F17" s="14" t="s">
        <v>125</v>
      </c>
      <c r="G17" s="14">
        <v>1500</v>
      </c>
      <c r="H17" s="15">
        <f t="shared" si="6"/>
        <v>0.0333333333333333</v>
      </c>
      <c r="I17" s="32">
        <v>0.28</v>
      </c>
      <c r="J17" s="15">
        <v>0.05</v>
      </c>
      <c r="K17" s="15">
        <v>0</v>
      </c>
      <c r="L17" s="15">
        <v>0</v>
      </c>
      <c r="M17" s="15">
        <f t="shared" si="1"/>
        <v>0.363333333333333</v>
      </c>
      <c r="N17" s="33">
        <f t="shared" si="2"/>
        <v>0.4</v>
      </c>
      <c r="O17" s="34">
        <f t="shared" si="3"/>
        <v>6.9</v>
      </c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8"/>
      <c r="BX17" s="38"/>
      <c r="BY17" s="36"/>
      <c r="BZ17" s="36"/>
      <c r="CA17" s="36"/>
      <c r="CB17" s="36"/>
      <c r="CC17" s="40"/>
      <c r="CD17" s="40"/>
      <c r="CE17" s="40"/>
      <c r="CF17" s="40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</row>
    <row r="18" s="1" customFormat="1" ht="15" customHeight="1" spans="1:145">
      <c r="A18" s="16"/>
      <c r="B18" s="12" t="s">
        <v>130</v>
      </c>
      <c r="C18" s="18"/>
      <c r="D18" s="19" t="s">
        <v>117</v>
      </c>
      <c r="E18" s="14">
        <v>100</v>
      </c>
      <c r="F18" s="14" t="s">
        <v>66</v>
      </c>
      <c r="G18" s="14">
        <v>500</v>
      </c>
      <c r="H18" s="15">
        <f t="shared" si="6"/>
        <v>0.2</v>
      </c>
      <c r="I18" s="32">
        <v>0.15</v>
      </c>
      <c r="J18" s="32">
        <v>0.05</v>
      </c>
      <c r="K18" s="15">
        <v>0</v>
      </c>
      <c r="L18" s="15">
        <v>0</v>
      </c>
      <c r="M18" s="15">
        <f t="shared" si="1"/>
        <v>0.4</v>
      </c>
      <c r="N18" s="33">
        <f t="shared" si="2"/>
        <v>0.4</v>
      </c>
      <c r="O18" s="34">
        <f t="shared" si="3"/>
        <v>7.3</v>
      </c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8"/>
      <c r="BX18" s="38"/>
      <c r="BY18" s="36"/>
      <c r="BZ18" s="36"/>
      <c r="CA18" s="36"/>
      <c r="CB18" s="36"/>
      <c r="CC18" s="36"/>
      <c r="CD18" s="36"/>
      <c r="CE18" s="36"/>
      <c r="CF18" s="36"/>
      <c r="CG18" s="37"/>
      <c r="CH18" s="37"/>
      <c r="CI18" s="37"/>
      <c r="CJ18" s="37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</row>
    <row r="19" s="1" customFormat="1" ht="15" customHeight="1" spans="1:145">
      <c r="A19" s="16"/>
      <c r="B19" s="12" t="s">
        <v>131</v>
      </c>
      <c r="C19" s="18"/>
      <c r="D19" s="14" t="s">
        <v>82</v>
      </c>
      <c r="E19" s="14" t="s">
        <v>69</v>
      </c>
      <c r="F19" s="14" t="s">
        <v>69</v>
      </c>
      <c r="G19" s="14" t="s">
        <v>69</v>
      </c>
      <c r="H19" s="15">
        <v>0.3</v>
      </c>
      <c r="I19" s="32">
        <v>0</v>
      </c>
      <c r="J19" s="32">
        <v>0.05</v>
      </c>
      <c r="K19" s="32">
        <v>0</v>
      </c>
      <c r="L19" s="32">
        <v>0.07</v>
      </c>
      <c r="M19" s="15">
        <f t="shared" si="1"/>
        <v>0.42</v>
      </c>
      <c r="N19" s="33">
        <f t="shared" si="2"/>
        <v>0.5</v>
      </c>
      <c r="O19" s="34">
        <f t="shared" si="3"/>
        <v>7.8</v>
      </c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8"/>
      <c r="BX19" s="38"/>
      <c r="BY19" s="36"/>
      <c r="BZ19" s="36"/>
      <c r="CA19" s="36"/>
      <c r="CB19" s="36"/>
      <c r="CC19" s="36"/>
      <c r="CD19" s="36"/>
      <c r="CE19" s="36"/>
      <c r="CF19" s="36"/>
      <c r="CG19" s="38"/>
      <c r="CH19" s="38"/>
      <c r="CI19" s="38"/>
      <c r="CJ19" s="38"/>
      <c r="CK19" s="37"/>
      <c r="CL19" s="37"/>
      <c r="CM19" s="37"/>
      <c r="CN19" s="37"/>
      <c r="CO19" s="37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43"/>
      <c r="DL19" s="43"/>
      <c r="DM19" s="43"/>
      <c r="DN19" s="43"/>
      <c r="DO19" s="43"/>
      <c r="DP19" s="43"/>
      <c r="DQ19" s="43"/>
      <c r="DR19" s="43"/>
      <c r="DS19" s="43"/>
      <c r="DT19" s="43"/>
      <c r="DU19" s="43"/>
      <c r="DV19" s="43"/>
      <c r="DW19" s="43"/>
      <c r="DX19" s="43"/>
      <c r="DY19" s="43"/>
      <c r="DZ19" s="43"/>
      <c r="EA19" s="43"/>
      <c r="EB19" s="43"/>
      <c r="EC19" s="43"/>
      <c r="ED19" s="43"/>
      <c r="EE19" s="43"/>
      <c r="EF19" s="43"/>
      <c r="EG19" s="43"/>
      <c r="EH19" s="43"/>
      <c r="EI19" s="43"/>
      <c r="EJ19" s="43"/>
      <c r="EK19" s="43"/>
      <c r="EL19" s="43"/>
      <c r="EM19" s="43"/>
      <c r="EN19" s="43"/>
      <c r="EO19" s="43"/>
    </row>
    <row r="20" s="1" customFormat="1" ht="15" customHeight="1" spans="1:145">
      <c r="A20" s="16"/>
      <c r="B20" s="12" t="s">
        <v>132</v>
      </c>
      <c r="C20" s="18"/>
      <c r="D20" s="19" t="s">
        <v>117</v>
      </c>
      <c r="E20" s="14">
        <v>100</v>
      </c>
      <c r="F20" s="14" t="s">
        <v>66</v>
      </c>
      <c r="G20" s="14">
        <v>500</v>
      </c>
      <c r="H20" s="15">
        <f>E20/G20</f>
        <v>0.2</v>
      </c>
      <c r="I20" s="32">
        <v>0.15</v>
      </c>
      <c r="J20" s="32">
        <v>0.05</v>
      </c>
      <c r="K20" s="15">
        <v>0</v>
      </c>
      <c r="L20" s="15">
        <v>0</v>
      </c>
      <c r="M20" s="15">
        <f t="shared" si="1"/>
        <v>0.4</v>
      </c>
      <c r="N20" s="33">
        <f t="shared" si="2"/>
        <v>0.4</v>
      </c>
      <c r="O20" s="34">
        <f t="shared" si="3"/>
        <v>8.2</v>
      </c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8"/>
      <c r="BX20" s="38"/>
      <c r="BY20" s="36"/>
      <c r="BZ20" s="36"/>
      <c r="CA20" s="36"/>
      <c r="CB20" s="36"/>
      <c r="CC20" s="36"/>
      <c r="CD20" s="36"/>
      <c r="CE20" s="36"/>
      <c r="CF20" s="36"/>
      <c r="CG20" s="38"/>
      <c r="CH20" s="38"/>
      <c r="CI20" s="38"/>
      <c r="CJ20" s="38"/>
      <c r="CK20" s="38"/>
      <c r="CL20" s="38"/>
      <c r="CM20" s="38"/>
      <c r="CN20" s="38"/>
      <c r="CO20" s="38"/>
      <c r="CP20" s="37"/>
      <c r="CQ20" s="37"/>
      <c r="CR20" s="37"/>
      <c r="CS20" s="37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</row>
    <row r="21" s="1" customFormat="1" ht="15" customHeight="1" spans="1:145">
      <c r="A21" s="20"/>
      <c r="B21" s="12" t="s">
        <v>135</v>
      </c>
      <c r="C21" s="18"/>
      <c r="D21" s="14" t="s">
        <v>71</v>
      </c>
      <c r="E21" s="14">
        <v>300</v>
      </c>
      <c r="F21" s="14" t="s">
        <v>125</v>
      </c>
      <c r="G21" s="14">
        <v>1500</v>
      </c>
      <c r="H21" s="15">
        <f>E21/G21</f>
        <v>0.2</v>
      </c>
      <c r="I21" s="32">
        <v>0.3</v>
      </c>
      <c r="J21" s="32">
        <v>0.05</v>
      </c>
      <c r="K21" s="32">
        <v>0.2</v>
      </c>
      <c r="L21" s="32">
        <v>0</v>
      </c>
      <c r="M21" s="15">
        <f t="shared" si="1"/>
        <v>0.75</v>
      </c>
      <c r="N21" s="33">
        <f t="shared" si="2"/>
        <v>0.8</v>
      </c>
      <c r="O21" s="34">
        <f t="shared" si="3"/>
        <v>9</v>
      </c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8"/>
      <c r="BX21" s="38"/>
      <c r="BY21" s="36"/>
      <c r="BZ21" s="36"/>
      <c r="CA21" s="36"/>
      <c r="CB21" s="36"/>
      <c r="CC21" s="36"/>
      <c r="CD21" s="36"/>
      <c r="CE21" s="36"/>
      <c r="CF21" s="36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7"/>
      <c r="CU21" s="37"/>
      <c r="CV21" s="37"/>
      <c r="CW21" s="37"/>
      <c r="CX21" s="37"/>
      <c r="CY21" s="37"/>
      <c r="CZ21" s="37"/>
      <c r="DA21" s="37"/>
      <c r="DB21" s="38"/>
      <c r="DC21" s="38"/>
      <c r="DD21" s="38"/>
      <c r="DE21" s="38"/>
      <c r="DF21" s="38"/>
      <c r="DG21" s="38"/>
      <c r="DH21" s="38"/>
      <c r="DI21" s="38"/>
      <c r="DJ21" s="38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</row>
    <row r="22" s="1" customFormat="1" spans="4:107">
      <c r="D22" s="3"/>
      <c r="E22" s="3"/>
      <c r="F22" s="3"/>
      <c r="G22" s="3"/>
      <c r="H22" s="4"/>
      <c r="I22" s="3"/>
      <c r="J22" s="3"/>
      <c r="K22" s="3"/>
      <c r="L22" s="3"/>
      <c r="M22" s="4"/>
      <c r="N22" s="5"/>
      <c r="O22" s="3"/>
      <c r="CT22" s="42"/>
      <c r="CU22" s="42"/>
      <c r="CV22" s="42"/>
      <c r="CW22" s="42"/>
      <c r="CX22" s="42"/>
      <c r="CY22" s="42"/>
      <c r="CZ22" s="42"/>
      <c r="DA22" s="42"/>
      <c r="DB22" s="42"/>
      <c r="DC22" s="42"/>
    </row>
    <row r="23" s="2" customFormat="1" ht="23" customHeight="1" spans="1:95">
      <c r="A23" s="21" t="s">
        <v>136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</row>
    <row r="24" s="2" customFormat="1" ht="12" customHeight="1" spans="1:5">
      <c r="A24" s="22"/>
      <c r="B24" s="22"/>
      <c r="C24" s="23"/>
      <c r="D24" s="22"/>
      <c r="E24" s="22"/>
    </row>
    <row r="25" s="2" customFormat="1" ht="23" customHeight="1" spans="1:50">
      <c r="A25" s="24"/>
      <c r="B25" s="25" t="s">
        <v>121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</row>
    <row r="26" s="2" customFormat="1" ht="23" customHeight="1" spans="1:50">
      <c r="A26" s="24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</row>
    <row r="27" s="2" customFormat="1" ht="23" customHeight="1" spans="1:50">
      <c r="A27" s="24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</row>
    <row r="28" s="2" customFormat="1" ht="23" customHeight="1" spans="1:50">
      <c r="A28" s="24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</row>
    <row r="29" s="2" customFormat="1" ht="23" customHeight="1" spans="1:50">
      <c r="A29" s="24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</row>
  </sheetData>
  <mergeCells count="5">
    <mergeCell ref="A1:O1"/>
    <mergeCell ref="A23:CQ23"/>
    <mergeCell ref="A3:A4"/>
    <mergeCell ref="A5:A21"/>
    <mergeCell ref="B25:V2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ST02 双吸嘴+载具CCD固定</vt:lpstr>
      <vt:lpstr>CT表（详细版）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2023-04-27T02:50:00Z</dcterms:created>
  <dcterms:modified xsi:type="dcterms:W3CDTF">2026-04-19T08:44:50Z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2052-11.8.2.11716</vt:lpwstr>
  </property>
  <property fmtid="{D5CDD505-2E9C-101B-9397-08002B2CF9AE}" pid="3" name="ICV">
    <vt:lpwstr>D309BF06084847B686520E6460BA3BD1</vt:lpwstr>
  </property>
  <property fmtid="{D5CDD505-2E9C-101B-9397-08002B2CF9AE}" pid="4" name="KSOReadingLayout">
    <vt:bool>true</vt:bool>
  </property>
</Properties>
</file>